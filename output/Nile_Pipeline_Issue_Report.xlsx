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All Months Summary" sheetId="2" state="visible" r:id="rId2"/>
    <sheet xmlns:r="http://schemas.openxmlformats.org/officeDocument/2006/relationships" name="Raw — Apr 2026" sheetId="3" state="visible" r:id="rId3"/>
    <sheet xmlns:r="http://schemas.openxmlformats.org/officeDocument/2006/relationships" name="Summary — Apr 2026" sheetId="4" state="visible" r:id="rId4"/>
    <sheet xmlns:r="http://schemas.openxmlformats.org/officeDocument/2006/relationships" name="Needs Review — Apr 2026" sheetId="5" state="visible" r:id="rId5"/>
    <sheet xmlns:r="http://schemas.openxmlformats.org/officeDocument/2006/relationships" name="Raw — May 2026" sheetId="6" state="visible" r:id="rId6"/>
    <sheet xmlns:r="http://schemas.openxmlformats.org/officeDocument/2006/relationships" name="Summary — May 2026" sheetId="7" state="visible" r:id="rId7"/>
    <sheet xmlns:r="http://schemas.openxmlformats.org/officeDocument/2006/relationships" name="Needs Review — May 2026" sheetId="8" state="visible" r:id="rId8"/>
    <sheet xmlns:r="http://schemas.openxmlformats.org/officeDocument/2006/relationships" name="_categories" sheetId="9" state="hidden" r:id="rId9"/>
  </sheets>
  <definedNames>
    <definedName name="_xlnm._FilterDatabase" localSheetId="2" hidden="1">'Raw — Apr 2026'!$A$2:$W$2</definedName>
    <definedName name="_xlnm._FilterDatabase" localSheetId="5" hidden="1">'Raw — May 2026'!$A$2:$W$2</definedName>
  </definedNames>
  <calcPr calcId="124519" fullCalcOnLoad="1"/>
</workbook>
</file>

<file path=xl/styles.xml><?xml version="1.0" encoding="utf-8"?>
<styleSheet xmlns="http://schemas.openxmlformats.org/spreadsheetml/2006/main">
  <numFmts count="1">
    <numFmt numFmtId="164" formatCode="0.0%"/>
  </numFmts>
  <fonts count="42">
    <font>
      <name val="Calibri"/>
      <family val="2"/>
      <color theme="1"/>
      <sz val="11"/>
      <scheme val="minor"/>
    </font>
    <font>
      <b val="1"/>
      <color rgb="001F3864"/>
      <sz val="14"/>
    </font>
    <font>
      <b val="1"/>
      <color rgb="00FFFFFF"/>
      <sz val="11"/>
    </font>
    <font>
      <b val="1"/>
      <color rgb="00FF69B4"/>
      <sz val="10"/>
    </font>
    <font>
      <b val="1"/>
      <color rgb="00FFC000"/>
      <sz val="10"/>
    </font>
    <font>
      <b val="1"/>
      <color rgb="005B9BD5"/>
      <sz val="10"/>
    </font>
    <font>
      <b val="1"/>
      <color rgb="004472C4"/>
      <sz val="10"/>
    </font>
    <font>
      <b val="1"/>
      <color rgb="00ED7D31"/>
      <sz val="10"/>
    </font>
    <font>
      <b val="1"/>
      <color rgb="00FF8C00"/>
      <sz val="10"/>
    </font>
    <font>
      <b val="1"/>
      <color rgb="00FF0000"/>
      <sz val="10"/>
    </font>
    <font>
      <b val="1"/>
      <color rgb="00D9D9D9"/>
      <sz val="10"/>
    </font>
    <font>
      <b val="1"/>
      <color rgb="0000B0B0"/>
      <sz val="10"/>
    </font>
    <font>
      <b val="1"/>
      <color rgb="0000B050"/>
      <sz val="10"/>
    </font>
    <font>
      <b val="1"/>
      <color rgb="007030A0"/>
      <sz val="10"/>
    </font>
    <font>
      <b val="1"/>
      <color rgb="0000B0F0"/>
      <sz val="10"/>
    </font>
    <font>
      <b val="1"/>
      <color rgb="00FFFFFF"/>
      <sz val="16"/>
    </font>
    <font>
      <color rgb="00B5D4F4"/>
      <sz val="11"/>
    </font>
    <font>
      <color rgb="00185FA5"/>
      <sz val="10"/>
    </font>
    <font>
      <b val="1"/>
      <color rgb="000C447C"/>
      <sz val="22"/>
    </font>
    <font>
      <color rgb="00A32D2D"/>
      <sz val="10"/>
    </font>
    <font>
      <b val="1"/>
      <color rgb="00791F1F"/>
      <sz val="22"/>
    </font>
    <font>
      <color rgb="00854F0B"/>
      <sz val="10"/>
    </font>
    <font>
      <b val="1"/>
      <color rgb="00633806"/>
      <sz val="22"/>
    </font>
    <font>
      <b val="1"/>
      <color rgb="00155724"/>
      <sz val="11"/>
    </font>
    <font>
      <b val="1"/>
      <sz val="11"/>
    </font>
    <font>
      <b val="1"/>
      <color rgb="00185FA5"/>
      <sz val="11"/>
    </font>
    <font>
      <i val="1"/>
      <color rgb="00888780"/>
      <sz val="9"/>
    </font>
    <font>
      <b val="1"/>
      <color rgb="00FFFFFF"/>
      <sz val="14"/>
    </font>
    <font>
      <b val="1"/>
      <color rgb="00FFFFFF"/>
      <sz val="10"/>
    </font>
    <font>
      <color rgb="00666660"/>
      <sz val="10"/>
    </font>
    <font>
      <b val="1"/>
      <sz val="12"/>
    </font>
    <font>
      <b val="1"/>
      <color rgb="001F3864"/>
      <sz val="16"/>
    </font>
    <font>
      <b val="1"/>
      <color rgb="00444444"/>
      <sz val="12"/>
    </font>
    <font>
      <b val="1"/>
    </font>
    <font>
      <b val="1"/>
      <color rgb="00FFFFFF"/>
      <sz val="13"/>
    </font>
    <font>
      <i val="1"/>
      <color rgb="00C00000"/>
      <sz val="11"/>
    </font>
    <font>
      <sz val="10"/>
    </font>
    <font>
      <b val="1"/>
      <color rgb="00856404"/>
      <sz val="11"/>
    </font>
    <font>
      <b val="1"/>
      <color rgb="00A32D2D"/>
      <sz val="11"/>
    </font>
    <font>
      <b val="1"/>
      <color rgb="003B6D11"/>
      <sz val="11"/>
    </font>
    <font>
      <color rgb="00888780"/>
      <sz val="11"/>
    </font>
    <font>
      <b val="1"/>
      <color rgb="00888780"/>
      <sz val="11"/>
    </font>
  </fonts>
  <fills count="24">
    <fill>
      <patternFill/>
    </fill>
    <fill>
      <patternFill patternType="gray125"/>
    </fill>
    <fill>
      <patternFill patternType="solid">
        <fgColor rgb="001F3864"/>
      </patternFill>
    </fill>
    <fill>
      <patternFill patternType="solid">
        <fgColor rgb="00F2F7FF"/>
      </patternFill>
    </fill>
    <fill>
      <patternFill patternType="solid">
        <fgColor rgb="00E6F1FB"/>
      </patternFill>
    </fill>
    <fill>
      <patternFill patternType="solid">
        <fgColor rgb="00FCEBEB"/>
      </patternFill>
    </fill>
    <fill>
      <patternFill patternType="solid">
        <fgColor rgb="00FAEEDA"/>
      </patternFill>
    </fill>
    <fill>
      <patternFill patternType="solid">
        <fgColor rgb="00D4EDDA"/>
      </patternFill>
    </fill>
    <fill>
      <patternFill patternType="solid">
        <fgColor rgb="00E8EDF5"/>
      </patternFill>
    </fill>
    <fill>
      <patternFill patternType="solid">
        <fgColor rgb="005B9BD5"/>
      </patternFill>
    </fill>
    <fill>
      <patternFill patternType="solid">
        <fgColor rgb="004472C4"/>
      </patternFill>
    </fill>
    <fill>
      <patternFill patternType="solid">
        <fgColor rgb="00FF0000"/>
      </patternFill>
    </fill>
    <fill>
      <patternFill patternType="solid">
        <fgColor rgb="00ED7D31"/>
      </patternFill>
    </fill>
    <fill>
      <patternFill patternType="solid">
        <fgColor rgb="00FFC000"/>
      </patternFill>
    </fill>
    <fill>
      <patternFill patternType="solid">
        <fgColor rgb="0000B050"/>
      </patternFill>
    </fill>
    <fill>
      <patternFill patternType="solid">
        <fgColor rgb="00FF8C00"/>
      </patternFill>
    </fill>
    <fill>
      <patternFill patternType="solid">
        <fgColor rgb="0000B0F0"/>
      </patternFill>
    </fill>
    <fill>
      <patternFill patternType="solid">
        <fgColor rgb="007030A0"/>
      </patternFill>
    </fill>
    <fill>
      <patternFill patternType="solid">
        <fgColor rgb="00FF69B4"/>
      </patternFill>
    </fill>
    <fill>
      <patternFill patternType="solid">
        <fgColor rgb="0000B0B0"/>
      </patternFill>
    </fill>
    <fill>
      <patternFill patternType="solid">
        <fgColor rgb="00D9D9D9"/>
      </patternFill>
    </fill>
    <fill>
      <patternFill patternType="solid">
        <fgColor rgb="00C00000"/>
      </patternFill>
    </fill>
    <fill>
      <patternFill patternType="solid">
        <fgColor rgb="00FFF2F2"/>
      </patternFill>
    </fill>
    <fill>
      <patternFill patternType="solid">
        <fgColor rgb="00FFF3CD"/>
      </patternFill>
    </fill>
  </fills>
  <borders count="26">
    <border>
      <left/>
      <right/>
      <top/>
      <bottom/>
      <diagonal/>
    </border>
    <border>
      <left style="thin">
        <color rgb="00CCCCCC"/>
      </left>
      <right style="thin">
        <color rgb="00CCCCCC"/>
      </right>
      <top style="thin">
        <color rgb="00CCCCCC"/>
      </top>
      <bottom style="thin">
        <color rgb="00CCCCCC"/>
      </bottom>
    </border>
    <border>
      <left style="thin">
        <color rgb="00185FA5"/>
      </left>
      <right style="thin">
        <color rgb="00185FA5"/>
      </right>
      <top style="thin">
        <color rgb="00185FA5"/>
      </top>
    </border>
    <border>
      <left style="thin">
        <color rgb="00185FA5"/>
      </left>
      <right style="thin">
        <color rgb="00185FA5"/>
      </right>
      <bottom style="thin">
        <color rgb="00185FA5"/>
      </bottom>
    </border>
    <border>
      <left style="thin">
        <color rgb="00A32D2D"/>
      </left>
      <right style="thin">
        <color rgb="00A32D2D"/>
      </right>
      <top style="thin">
        <color rgb="00A32D2D"/>
      </top>
    </border>
    <border>
      <left style="thin">
        <color rgb="00A32D2D"/>
      </left>
      <right style="thin">
        <color rgb="00A32D2D"/>
      </right>
      <bottom style="thin">
        <color rgb="00A32D2D"/>
      </bottom>
    </border>
    <border>
      <left style="thin">
        <color rgb="00854F0B"/>
      </left>
      <right style="thin">
        <color rgb="00854F0B"/>
      </right>
      <top style="thin">
        <color rgb="00854F0B"/>
      </top>
    </border>
    <border>
      <left style="thin">
        <color rgb="00854F0B"/>
      </left>
      <right style="thin">
        <color rgb="00854F0B"/>
      </right>
      <bottom style="thin">
        <color rgb="00854F0B"/>
      </bottom>
    </border>
    <border>
      <left style="thin">
        <color rgb="00155724"/>
      </left>
      <right style="thin">
        <color rgb="00155724"/>
      </right>
      <top style="thin">
        <color rgb="00155724"/>
      </top>
      <bottom style="thin">
        <color rgb="00155724"/>
      </bottom>
    </border>
    <border>
      <left/>
      <right/>
      <top style="thin">
        <color rgb="00155724"/>
      </top>
      <bottom/>
      <diagonal/>
    </border>
    <border>
      <left/>
      <right style="thin">
        <color rgb="00155724"/>
      </right>
      <top style="thin">
        <color rgb="00155724"/>
      </top>
      <bottom/>
      <diagonal/>
    </border>
    <border>
      <left/>
      <right/>
      <top style="thin">
        <color rgb="00155724"/>
      </top>
      <bottom style="thin">
        <color rgb="00155724"/>
      </bottom>
      <diagonal/>
    </border>
    <border>
      <left/>
      <right style="thin">
        <color rgb="00155724"/>
      </right>
      <top style="thin">
        <color rgb="00155724"/>
      </top>
      <bottom style="thin">
        <color rgb="00155724"/>
      </bottom>
      <diagonal/>
    </border>
    <border>
      <left/>
      <right style="thin">
        <color rgb="00854F0B"/>
      </right>
      <top/>
      <bottom/>
      <diagonal/>
    </border>
    <border>
      <left/>
      <right style="thin">
        <color rgb="00854F0B"/>
      </right>
      <top/>
      <bottom style="thin">
        <color rgb="00854F0B"/>
      </bottom>
      <diagonal/>
    </border>
    <border>
      <left/>
      <right style="thin">
        <color rgb="00A32D2D"/>
      </right>
      <top/>
      <bottom/>
      <diagonal/>
    </border>
    <border>
      <left/>
      <right style="thin">
        <color rgb="00A32D2D"/>
      </right>
      <top/>
      <bottom style="thin">
        <color rgb="00A32D2D"/>
      </bottom>
      <diagonal/>
    </border>
    <border>
      <left/>
      <right/>
      <top style="thin">
        <color rgb="00A32D2D"/>
      </top>
      <bottom/>
      <diagonal/>
    </border>
    <border>
      <left/>
      <right style="thin">
        <color rgb="00A32D2D"/>
      </right>
      <top style="thin">
        <color rgb="00A32D2D"/>
      </top>
      <bottom/>
      <diagonal/>
    </border>
    <border>
      <left/>
      <right/>
      <top style="thin">
        <color rgb="00185FA5"/>
      </top>
      <bottom/>
      <diagonal/>
    </border>
    <border>
      <left/>
      <right style="thin">
        <color rgb="00185FA5"/>
      </right>
      <top style="thin">
        <color rgb="00185FA5"/>
      </top>
      <bottom/>
      <diagonal/>
    </border>
    <border>
      <left/>
      <right/>
      <top style="thin">
        <color rgb="00854F0B"/>
      </top>
      <bottom/>
      <diagonal/>
    </border>
    <border>
      <left/>
      <right style="thin">
        <color rgb="00854F0B"/>
      </right>
      <top style="thin">
        <color rgb="00854F0B"/>
      </top>
      <bottom/>
      <diagonal/>
    </border>
    <border>
      <left/>
      <right style="thin">
        <color rgb="00185FA5"/>
      </right>
      <top/>
      <bottom/>
      <diagonal/>
    </border>
    <border>
      <left/>
      <right style="thin">
        <color rgb="00185FA5"/>
      </right>
      <top/>
      <bottom style="thin">
        <color rgb="00185FA5"/>
      </bottom>
      <diagonal/>
    </border>
    <border>
      <left style="thin">
        <color rgb="00856404"/>
      </left>
      <right style="thin">
        <color rgb="00856404"/>
      </right>
      <top style="thin">
        <color rgb="00856404"/>
      </top>
      <bottom style="thin">
        <color rgb="00856404"/>
      </bottom>
    </border>
  </borders>
  <cellStyleXfs count="1">
    <xf numFmtId="0" fontId="0" fillId="0" borderId="0"/>
  </cellStyleXfs>
  <cellXfs count="131">
    <xf numFmtId="0" fontId="0" fillId="0" borderId="0" pivotButton="0" quotePrefix="0" xfId="0"/>
    <xf numFmtId="0" fontId="15" fillId="2" borderId="0" applyAlignment="1" pivotButton="0" quotePrefix="0" xfId="0">
      <alignment horizontal="center" vertical="center"/>
    </xf>
    <xf numFmtId="0" fontId="16" fillId="2" borderId="0" applyAlignment="1" pivotButton="0" quotePrefix="0" xfId="0">
      <alignment horizontal="center" vertical="center"/>
    </xf>
    <xf numFmtId="0" fontId="0" fillId="2" borderId="0" pivotButton="0" quotePrefix="0" xfId="0"/>
    <xf numFmtId="0" fontId="17" fillId="4" borderId="2" applyAlignment="1" pivotButton="0" quotePrefix="0" xfId="0">
      <alignment horizontal="center" vertical="center"/>
    </xf>
    <xf numFmtId="0" fontId="19" fillId="5" borderId="4" applyAlignment="1" pivotButton="0" quotePrefix="0" xfId="0">
      <alignment horizontal="center" vertical="center"/>
    </xf>
    <xf numFmtId="0" fontId="21" fillId="6" borderId="6" applyAlignment="1" pivotButton="0" quotePrefix="0" xfId="0">
      <alignment horizontal="center" vertical="center"/>
    </xf>
    <xf numFmtId="0" fontId="18" fillId="4" borderId="3" applyAlignment="1" pivotButton="0" quotePrefix="0" xfId="0">
      <alignment horizontal="center" vertical="center"/>
    </xf>
    <xf numFmtId="0" fontId="20" fillId="5" borderId="5" applyAlignment="1" pivotButton="0" quotePrefix="0" xfId="0">
      <alignment horizontal="center" vertical="center"/>
    </xf>
    <xf numFmtId="0" fontId="22" fillId="6" borderId="7" applyAlignment="1" pivotButton="0" quotePrefix="0" xfId="0">
      <alignment horizontal="center" vertical="center"/>
    </xf>
    <xf numFmtId="0" fontId="23" fillId="7" borderId="8" applyAlignment="1" pivotButton="0" quotePrefix="0" xfId="0">
      <alignment horizontal="left" vertical="center" indent="1"/>
    </xf>
    <xf numFmtId="0" fontId="2" fillId="2" borderId="1" applyAlignment="1" pivotButton="0" quotePrefix="0" xfId="0">
      <alignment horizontal="center" vertical="center"/>
    </xf>
    <xf numFmtId="0" fontId="0" fillId="0" borderId="1" applyAlignment="1" pivotButton="0" quotePrefix="0" xfId="0">
      <alignment horizontal="left" vertical="center" indent="1"/>
    </xf>
    <xf numFmtId="0" fontId="24" fillId="0" borderId="1" applyAlignment="1" pivotButton="0" quotePrefix="0" xfId="0">
      <alignment horizontal="center" vertical="center"/>
    </xf>
    <xf numFmtId="0" fontId="0" fillId="0" borderId="1" applyAlignment="1" pivotButton="0" quotePrefix="0" xfId="0">
      <alignment horizontal="center" vertical="center"/>
    </xf>
    <xf numFmtId="0" fontId="25" fillId="0" borderId="1" applyAlignment="1" pivotButton="0" quotePrefix="0" xfId="0">
      <alignment horizontal="center" vertical="center"/>
    </xf>
    <xf numFmtId="0" fontId="5" fillId="0" borderId="1" applyAlignment="1" pivotButton="0" quotePrefix="0" xfId="0">
      <alignment horizontal="left" vertical="center"/>
    </xf>
    <xf numFmtId="0" fontId="0" fillId="3" borderId="1" applyAlignment="1" pivotButton="0" quotePrefix="0" xfId="0">
      <alignment horizontal="left" vertical="center" indent="1"/>
    </xf>
    <xf numFmtId="0" fontId="24" fillId="3" borderId="1" applyAlignment="1" pivotButton="0" quotePrefix="0" xfId="0">
      <alignment horizontal="center" vertical="center"/>
    </xf>
    <xf numFmtId="0" fontId="0" fillId="3" borderId="1" applyAlignment="1" pivotButton="0" quotePrefix="0" xfId="0">
      <alignment horizontal="center" vertical="center"/>
    </xf>
    <xf numFmtId="0" fontId="25" fillId="3" borderId="1" applyAlignment="1" pivotButton="0" quotePrefix="0" xfId="0">
      <alignment horizontal="center" vertical="center"/>
    </xf>
    <xf numFmtId="0" fontId="6" fillId="3" borderId="1" applyAlignment="1" pivotButton="0" quotePrefix="0" xfId="0">
      <alignment horizontal="left" vertical="center"/>
    </xf>
    <xf numFmtId="0" fontId="9" fillId="0" borderId="1" applyAlignment="1" pivotButton="0" quotePrefix="0" xfId="0">
      <alignment horizontal="left" vertical="center"/>
    </xf>
    <xf numFmtId="0" fontId="7" fillId="3" borderId="1" applyAlignment="1" pivotButton="0" quotePrefix="0" xfId="0">
      <alignment horizontal="left" vertical="center"/>
    </xf>
    <xf numFmtId="0" fontId="4" fillId="0" borderId="1" applyAlignment="1" pivotButton="0" quotePrefix="0" xfId="0">
      <alignment horizontal="left" vertical="center"/>
    </xf>
    <xf numFmtId="0" fontId="12" fillId="3" borderId="1" applyAlignment="1" pivotButton="0" quotePrefix="0" xfId="0">
      <alignment horizontal="left" vertical="center"/>
    </xf>
    <xf numFmtId="0" fontId="8" fillId="0" borderId="1" applyAlignment="1" pivotButton="0" quotePrefix="0" xfId="0">
      <alignment horizontal="left" vertical="center"/>
    </xf>
    <xf numFmtId="0" fontId="14" fillId="3" borderId="1" applyAlignment="1" pivotButton="0" quotePrefix="0" xfId="0">
      <alignment horizontal="left" vertical="center"/>
    </xf>
    <xf numFmtId="0" fontId="13" fillId="0" borderId="1" applyAlignment="1" pivotButton="0" quotePrefix="0" xfId="0">
      <alignment horizontal="left" vertical="center"/>
    </xf>
    <xf numFmtId="0" fontId="3" fillId="3" borderId="1" applyAlignment="1" pivotButton="0" quotePrefix="0" xfId="0">
      <alignment horizontal="left" vertical="center"/>
    </xf>
    <xf numFmtId="0" fontId="11" fillId="0" borderId="1" applyAlignment="1" pivotButton="0" quotePrefix="0" xfId="0">
      <alignment horizontal="left" vertical="center"/>
    </xf>
    <xf numFmtId="0" fontId="10" fillId="3" borderId="1" applyAlignment="1" pivotButton="0" quotePrefix="0" xfId="0">
      <alignment horizontal="left" vertical="center"/>
    </xf>
    <xf numFmtId="0" fontId="24" fillId="8" borderId="1" applyAlignment="1" pivotButton="0" quotePrefix="0" xfId="0">
      <alignment horizontal="left" vertical="center" indent="1"/>
    </xf>
    <xf numFmtId="0" fontId="24" fillId="8" borderId="1" applyAlignment="1" pivotButton="0" quotePrefix="0" xfId="0">
      <alignment horizontal="center" vertical="center"/>
    </xf>
    <xf numFmtId="0" fontId="26" fillId="0" borderId="0" applyAlignment="1" pivotButton="0" quotePrefix="0" xfId="0">
      <alignment horizontal="center"/>
    </xf>
    <xf numFmtId="0" fontId="27" fillId="2" borderId="0" applyAlignment="1" pivotButton="0" quotePrefix="0" xfId="0">
      <alignment horizontal="center" vertical="center"/>
    </xf>
    <xf numFmtId="0" fontId="2" fillId="2" borderId="1" applyAlignment="1" pivotButton="0" quotePrefix="0" xfId="0">
      <alignment horizontal="left" vertical="center" indent="1"/>
    </xf>
    <xf numFmtId="0" fontId="28" fillId="2" borderId="1" applyAlignment="1" pivotButton="0" quotePrefix="0" xfId="0">
      <alignment horizontal="center" vertical="center"/>
    </xf>
    <xf numFmtId="164" fontId="29" fillId="3" borderId="1" applyAlignment="1" pivotButton="0" quotePrefix="0" xfId="0">
      <alignment horizontal="center" vertical="center"/>
    </xf>
    <xf numFmtId="164" fontId="29" fillId="0" borderId="1" applyAlignment="1" pivotButton="0" quotePrefix="0" xfId="0">
      <alignment horizontal="center" vertical="center"/>
    </xf>
    <xf numFmtId="0" fontId="30" fillId="8" borderId="1" applyAlignment="1" pivotButton="0" quotePrefix="0" xfId="0">
      <alignment horizontal="center" vertical="center"/>
    </xf>
    <xf numFmtId="0" fontId="29" fillId="8" borderId="1" applyAlignment="1" pivotButton="0" quotePrefix="0" xfId="0">
      <alignment horizontal="center" vertical="center"/>
    </xf>
    <xf numFmtId="0" fontId="1" fillId="0" borderId="0" applyAlignment="1" pivotButton="0" quotePrefix="0" xfId="0">
      <alignment horizontal="center"/>
    </xf>
    <xf numFmtId="0" fontId="0" fillId="0" borderId="1" applyAlignment="1" pivotButton="0" quotePrefix="0" xfId="0">
      <alignment vertical="top"/>
    </xf>
    <xf numFmtId="0" fontId="0" fillId="0" borderId="1" applyAlignment="1" pivotButton="0" quotePrefix="0" xfId="0">
      <alignment vertical="top" wrapText="1"/>
    </xf>
    <xf numFmtId="0" fontId="3"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0" fontId="4" fillId="3" borderId="1" applyAlignment="1" pivotButton="0" quotePrefix="0" xfId="0">
      <alignment vertical="top"/>
    </xf>
    <xf numFmtId="0" fontId="5" fillId="0" borderId="1" applyAlignment="1" pivotButton="0" quotePrefix="0" xfId="0">
      <alignment vertical="top"/>
    </xf>
    <xf numFmtId="0" fontId="6" fillId="3" borderId="1" applyAlignment="1" pivotButton="0" quotePrefix="0" xfId="0">
      <alignment vertical="top"/>
    </xf>
    <xf numFmtId="0" fontId="7" fillId="0" borderId="1" applyAlignment="1" pivotButton="0" quotePrefix="0" xfId="0">
      <alignment vertical="top"/>
    </xf>
    <xf numFmtId="0" fontId="8" fillId="3" borderId="1" applyAlignment="1" pivotButton="0" quotePrefix="0" xfId="0">
      <alignment vertical="top"/>
    </xf>
    <xf numFmtId="0" fontId="6" fillId="0" borderId="1" applyAlignment="1" pivotButton="0" quotePrefix="0" xfId="0">
      <alignment vertical="top"/>
    </xf>
    <xf numFmtId="0" fontId="5" fillId="3" borderId="1" applyAlignment="1" pivotButton="0" quotePrefix="0" xfId="0">
      <alignment vertical="top"/>
    </xf>
    <xf numFmtId="0" fontId="7" fillId="3" borderId="1" applyAlignment="1" pivotButton="0" quotePrefix="0" xfId="0">
      <alignment vertical="top"/>
    </xf>
    <xf numFmtId="0" fontId="9" fillId="0" borderId="1" applyAlignment="1" pivotButton="0" quotePrefix="0" xfId="0">
      <alignment vertical="top"/>
    </xf>
    <xf numFmtId="0" fontId="10" fillId="3" borderId="1" applyAlignment="1" pivotButton="0" quotePrefix="0" xfId="0">
      <alignment vertical="top"/>
    </xf>
    <xf numFmtId="0" fontId="10" fillId="0" borderId="1" applyAlignment="1" pivotButton="0" quotePrefix="0" xfId="0">
      <alignment vertical="top"/>
    </xf>
    <xf numFmtId="0" fontId="11" fillId="0" borderId="1" applyAlignment="1" pivotButton="0" quotePrefix="0" xfId="0">
      <alignment vertical="top"/>
    </xf>
    <xf numFmtId="0" fontId="12" fillId="0" borderId="1" applyAlignment="1" pivotButton="0" quotePrefix="0" xfId="0">
      <alignment vertical="top"/>
    </xf>
    <xf numFmtId="0" fontId="9" fillId="3" borderId="1" applyAlignment="1" pivotButton="0" quotePrefix="0" xfId="0">
      <alignment vertical="top"/>
    </xf>
    <xf numFmtId="0" fontId="8" fillId="0" borderId="1" applyAlignment="1" pivotButton="0" quotePrefix="0" xfId="0">
      <alignment vertical="top"/>
    </xf>
    <xf numFmtId="0" fontId="3" fillId="3" borderId="1" applyAlignment="1" pivotButton="0" quotePrefix="0" xfId="0">
      <alignment vertical="top"/>
    </xf>
    <xf numFmtId="0" fontId="4" fillId="0" borderId="1" applyAlignment="1" pivotButton="0" quotePrefix="0" xfId="0">
      <alignment vertical="top"/>
    </xf>
    <xf numFmtId="0" fontId="13" fillId="0" borderId="1" applyAlignment="1" pivotButton="0" quotePrefix="0" xfId="0">
      <alignment vertical="top"/>
    </xf>
    <xf numFmtId="0" fontId="14" fillId="0" borderId="1" applyAlignment="1" pivotButton="0" quotePrefix="0" xfId="0">
      <alignment vertical="top"/>
    </xf>
    <xf numFmtId="0" fontId="13" fillId="3" borderId="1" applyAlignment="1" pivotButton="0" quotePrefix="0" xfId="0">
      <alignment vertical="top"/>
    </xf>
    <xf numFmtId="0" fontId="11" fillId="3" borderId="1" applyAlignment="1" pivotButton="0" quotePrefix="0" xfId="0">
      <alignment vertical="top"/>
    </xf>
    <xf numFmtId="0" fontId="31" fillId="0" borderId="0" applyAlignment="1" pivotButton="0" quotePrefix="0" xfId="0">
      <alignment horizontal="center"/>
    </xf>
    <xf numFmtId="0" fontId="32" fillId="0" borderId="0" pivotButton="0" quotePrefix="0" xfId="0"/>
    <xf numFmtId="0" fontId="0" fillId="0" borderId="1" applyAlignment="1" pivotButton="0" quotePrefix="0" xfId="0">
      <alignment horizontal="left"/>
    </xf>
    <xf numFmtId="164" fontId="0" fillId="0" borderId="1" applyAlignment="1" pivotButton="0" quotePrefix="0" xfId="0">
      <alignment horizontal="center" vertical="center"/>
    </xf>
    <xf numFmtId="0" fontId="0" fillId="9" borderId="1" pivotButton="0" quotePrefix="0" xfId="0"/>
    <xf numFmtId="0" fontId="0" fillId="3" borderId="1" applyAlignment="1" pivotButton="0" quotePrefix="0" xfId="0">
      <alignment horizontal="left"/>
    </xf>
    <xf numFmtId="164" fontId="0" fillId="3" borderId="1" applyAlignment="1" pivotButton="0" quotePrefix="0" xfId="0">
      <alignment horizontal="center" vertical="center"/>
    </xf>
    <xf numFmtId="0" fontId="0" fillId="10" borderId="1" pivotButton="0" quotePrefix="0" xfId="0"/>
    <xf numFmtId="0" fontId="0" fillId="11" borderId="1" pivotButton="0" quotePrefix="0" xfId="0"/>
    <xf numFmtId="0" fontId="0" fillId="12" borderId="1" pivotButton="0" quotePrefix="0" xfId="0"/>
    <xf numFmtId="0" fontId="0" fillId="13" borderId="1" pivotButton="0" quotePrefix="0" xfId="0"/>
    <xf numFmtId="0" fontId="0" fillId="14" borderId="1" pivotButton="0" quotePrefix="0" xfId="0"/>
    <xf numFmtId="0" fontId="0" fillId="15" borderId="1" pivotButton="0" quotePrefix="0" xfId="0"/>
    <xf numFmtId="0" fontId="0" fillId="16" borderId="1" pivotButton="0" quotePrefix="0" xfId="0"/>
    <xf numFmtId="0" fontId="0" fillId="17" borderId="1" pivotButton="0" quotePrefix="0" xfId="0"/>
    <xf numFmtId="0" fontId="0" fillId="18" borderId="1" pivotButton="0" quotePrefix="0" xfId="0"/>
    <xf numFmtId="0" fontId="0" fillId="19" borderId="1" pivotButton="0" quotePrefix="0" xfId="0"/>
    <xf numFmtId="0" fontId="0" fillId="20" borderId="1" pivotButton="0" quotePrefix="0" xfId="0"/>
    <xf numFmtId="0" fontId="33" fillId="0" borderId="1" pivotButton="0" quotePrefix="0" xfId="0"/>
    <xf numFmtId="0" fontId="0" fillId="0" borderId="1" applyAlignment="1" pivotButton="0" quotePrefix="0" xfId="0">
      <alignment horizontal="center"/>
    </xf>
    <xf numFmtId="0" fontId="0" fillId="0" borderId="1" pivotButton="0" quotePrefix="0" xfId="0"/>
    <xf numFmtId="0" fontId="34" fillId="21" borderId="0" applyAlignment="1" pivotButton="0" quotePrefix="0" xfId="0">
      <alignment horizontal="center" vertical="center"/>
    </xf>
    <xf numFmtId="0" fontId="35" fillId="0" borderId="0" applyAlignment="1" pivotButton="0" quotePrefix="0" xfId="0">
      <alignment horizontal="left" vertical="center" indent="1"/>
    </xf>
    <xf numFmtId="0" fontId="2" fillId="21" borderId="1" applyAlignment="1" pivotButton="0" quotePrefix="0" xfId="0">
      <alignment horizontal="center" vertical="center"/>
    </xf>
    <xf numFmtId="0" fontId="36" fillId="22" borderId="1" applyAlignment="1" pivotButton="0" quotePrefix="0" xfId="0">
      <alignment vertical="top"/>
    </xf>
    <xf numFmtId="0" fontId="36" fillId="22" borderId="1" applyAlignment="1" pivotButton="0" quotePrefix="0" xfId="0">
      <alignment vertical="top" wrapText="1"/>
    </xf>
    <xf numFmtId="0" fontId="36" fillId="0" borderId="1" applyAlignment="1" pivotButton="0" quotePrefix="0" xfId="0">
      <alignment vertical="top"/>
    </xf>
    <xf numFmtId="0" fontId="36" fillId="0" borderId="1" applyAlignment="1" pivotButton="0" quotePrefix="0" xfId="0">
      <alignment vertical="top" wrapText="1"/>
    </xf>
    <xf numFmtId="0" fontId="37" fillId="23" borderId="25" applyAlignment="1" pivotButton="0" quotePrefix="0" xfId="0">
      <alignment horizontal="left" vertical="center" indent="1"/>
    </xf>
    <xf numFmtId="0" fontId="38" fillId="0" borderId="1" applyAlignment="1" pivotButton="0" quotePrefix="0" xfId="0">
      <alignment horizontal="center" vertical="center"/>
    </xf>
    <xf numFmtId="0" fontId="38" fillId="3" borderId="1" applyAlignment="1" pivotButton="0" quotePrefix="0" xfId="0">
      <alignment horizontal="center" vertical="center"/>
    </xf>
    <xf numFmtId="0" fontId="39" fillId="0" borderId="1" applyAlignment="1" pivotButton="0" quotePrefix="0" xfId="0">
      <alignment horizontal="center" vertical="center"/>
    </xf>
    <xf numFmtId="0" fontId="40" fillId="3" borderId="1" applyAlignment="1" pivotButton="0" quotePrefix="0" xfId="0">
      <alignment horizontal="center" vertical="center"/>
    </xf>
    <xf numFmtId="0" fontId="40" fillId="0" borderId="1" applyAlignment="1" pivotButton="0" quotePrefix="0" xfId="0">
      <alignment horizontal="center" vertical="center"/>
    </xf>
    <xf numFmtId="0" fontId="3" fillId="0" borderId="1" applyAlignment="1" pivotButton="0" quotePrefix="0" xfId="0">
      <alignment horizontal="left" vertical="center"/>
    </xf>
    <xf numFmtId="0" fontId="39" fillId="3" borderId="1" applyAlignment="1" pivotButton="0" quotePrefix="0" xfId="0">
      <alignment horizontal="center" vertical="center"/>
    </xf>
    <xf numFmtId="0" fontId="11" fillId="3" borderId="1" applyAlignment="1" pivotButton="0" quotePrefix="0" xfId="0">
      <alignment horizontal="left" vertical="center"/>
    </xf>
    <xf numFmtId="0" fontId="10" fillId="0" borderId="1" applyAlignment="1" pivotButton="0" quotePrefix="0" xfId="0">
      <alignment horizontal="left" vertical="center"/>
    </xf>
    <xf numFmtId="0" fontId="0" fillId="0" borderId="1" applyAlignment="1" pivotButton="0" quotePrefix="0" xfId="0">
      <alignment vertical="top"/>
    </xf>
    <xf numFmtId="0" fontId="14" fillId="0" borderId="1" applyAlignment="1" pivotButton="0" quotePrefix="0" xfId="0">
      <alignment vertical="top"/>
    </xf>
    <xf numFmtId="0" fontId="0" fillId="3" borderId="1" applyAlignment="1" pivotButton="0" quotePrefix="0" xfId="0">
      <alignment vertical="top"/>
    </xf>
    <xf numFmtId="0" fontId="10" fillId="3" borderId="1" applyAlignment="1" pivotButton="0" quotePrefix="0" xfId="0">
      <alignment vertical="top"/>
    </xf>
    <xf numFmtId="0" fontId="8" fillId="0" borderId="1" applyAlignment="1" pivotButton="0" quotePrefix="0" xfId="0">
      <alignment vertical="top"/>
    </xf>
    <xf numFmtId="0" fontId="8" fillId="3" borderId="1" applyAlignment="1" pivotButton="0" quotePrefix="0" xfId="0">
      <alignment vertical="top"/>
    </xf>
    <xf numFmtId="0" fontId="10" fillId="0" borderId="1" applyAlignment="1" pivotButton="0" quotePrefix="0" xfId="0">
      <alignment vertical="top"/>
    </xf>
    <xf numFmtId="0" fontId="6" fillId="3" borderId="1" applyAlignment="1" pivotButton="0" quotePrefix="0" xfId="0">
      <alignment vertical="top"/>
    </xf>
    <xf numFmtId="0" fontId="9" fillId="0" borderId="1" applyAlignment="1" pivotButton="0" quotePrefix="0" xfId="0">
      <alignment vertical="top"/>
    </xf>
    <xf numFmtId="0" fontId="3" fillId="3" borderId="1" applyAlignment="1" pivotButton="0" quotePrefix="0" xfId="0">
      <alignment vertical="top"/>
    </xf>
    <xf numFmtId="0" fontId="12" fillId="0" borderId="1" applyAlignment="1" pivotButton="0" quotePrefix="0" xfId="0">
      <alignment vertical="top"/>
    </xf>
    <xf numFmtId="0" fontId="5" fillId="3" borderId="1" applyAlignment="1" pivotButton="0" quotePrefix="0" xfId="0">
      <alignment vertical="top"/>
    </xf>
    <xf numFmtId="0" fontId="4" fillId="3" borderId="1" applyAlignment="1" pivotButton="0" quotePrefix="0" xfId="0">
      <alignment vertical="top"/>
    </xf>
    <xf numFmtId="0" fontId="9" fillId="3" borderId="1" applyAlignment="1" pivotButton="0" quotePrefix="0" xfId="0">
      <alignment vertical="top"/>
    </xf>
    <xf numFmtId="0" fontId="6" fillId="0" borderId="1" applyAlignment="1" pivotButton="0" quotePrefix="0" xfId="0">
      <alignment vertical="top"/>
    </xf>
    <xf numFmtId="0" fontId="11" fillId="3" borderId="1" applyAlignment="1" pivotButton="0" quotePrefix="0" xfId="0">
      <alignment vertical="top"/>
    </xf>
    <xf numFmtId="0" fontId="5" fillId="0" borderId="1" applyAlignment="1" pivotButton="0" quotePrefix="0" xfId="0">
      <alignment vertical="top"/>
    </xf>
    <xf numFmtId="0" fontId="11" fillId="0" borderId="1" applyAlignment="1" pivotButton="0" quotePrefix="0" xfId="0">
      <alignment vertical="top"/>
    </xf>
    <xf numFmtId="0" fontId="12" fillId="3" borderId="1" applyAlignment="1" pivotButton="0" quotePrefix="0" xfId="0">
      <alignment vertical="top"/>
    </xf>
    <xf numFmtId="0" fontId="3" fillId="0" borderId="1" applyAlignment="1" pivotButton="0" quotePrefix="0" xfId="0">
      <alignment vertical="top"/>
    </xf>
    <xf numFmtId="0" fontId="7" fillId="3" borderId="1" applyAlignment="1" pivotButton="0" quotePrefix="0" xfId="0">
      <alignment vertical="top"/>
    </xf>
    <xf numFmtId="0" fontId="7" fillId="0" borderId="1" applyAlignment="1" pivotButton="0" quotePrefix="0" xfId="0">
      <alignment vertical="top"/>
    </xf>
    <xf numFmtId="0" fontId="4" fillId="0" borderId="1" applyAlignment="1" pivotButton="0" quotePrefix="0" xfId="0">
      <alignment vertical="top"/>
    </xf>
    <xf numFmtId="0" fontId="41"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Issue Count by Category — All Months</a:t>
            </a:r>
          </a:p>
        </rich>
      </tx>
    </title>
    <plotArea>
      <barChart>
        <barDir val="bar"/>
        <grouping val="clustered"/>
        <ser>
          <idx val="0"/>
          <order val="0"/>
          <tx>
            <strRef>
              <f>'All Months Summary'!B3</f>
            </strRef>
          </tx>
          <spPr>
            <a:solidFill xmlns:a="http://schemas.openxmlformats.org/drawingml/2006/main">
              <a:srgbClr val="2E75B6"/>
            </a:solidFill>
            <a:ln xmlns:a="http://schemas.openxmlformats.org/drawingml/2006/main">
              <a:prstDash val="solid"/>
            </a:ln>
          </spPr>
          <dLbls>
            <dLblPos val="outEnd"/>
            <showLegendKey val="0"/>
            <showVal val="1"/>
            <showCatName val="0"/>
            <showSerName val="0"/>
            <showPercent val="0"/>
          </dLbls>
          <val>
            <numRef>
              <f>'All Months Summary'!$B$4:$B$14</f>
            </numRef>
          </val>
        </ser>
        <ser>
          <idx val="1"/>
          <order val="1"/>
          <tx>
            <strRef>
              <f>'All Months Summary'!D3</f>
            </strRef>
          </tx>
          <spPr>
            <a:solidFill xmlns:a="http://schemas.openxmlformats.org/drawingml/2006/main">
              <a:srgbClr val="ED7D31"/>
            </a:solidFill>
            <a:ln xmlns:a="http://schemas.openxmlformats.org/drawingml/2006/main">
              <a:prstDash val="solid"/>
            </a:ln>
          </spPr>
          <dLbls>
            <dLblPos val="outEnd"/>
            <showLegendKey val="0"/>
            <showVal val="1"/>
            <showCatName val="0"/>
            <showSerName val="0"/>
            <showPercent val="0"/>
          </dLbls>
          <val>
            <numRef>
              <f>'All Months Summary'!$D$4:$D$14</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Category</a:t>
                </a:r>
              </a:p>
            </rich>
          </tx>
        </title>
        <majorTickMark val="none"/>
        <minorTickMark val="none"/>
        <tickLblPos val="low"/>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Issue Count by Category — April 2026</a:t>
            </a:r>
          </a:p>
        </rich>
      </tx>
    </title>
    <plotArea>
      <barChart>
        <barDir val="col"/>
        <grouping val="clustered"/>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Issue Distribution</a:t>
            </a:r>
          </a:p>
        </rich>
      </tx>
    </title>
    <plotArea>
      <pieChart>
        <varyColors val="1"/>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firstSliceAng val="0"/>
      </pieChart>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Issue Count by Category — May 2026</a:t>
            </a:r>
          </a:p>
        </rich>
      </tx>
    </title>
    <plotArea>
      <barChart>
        <barDir val="col"/>
        <grouping val="clustered"/>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Issue Distribution</a:t>
            </a:r>
          </a:p>
        </rich>
      </tx>
    </title>
    <plotArea>
      <pieChart>
        <varyColors val="1"/>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drawing1.xml><?xml version="1.0" encoding="utf-8"?>
<wsDr xmlns="http://schemas.openxmlformats.org/drawingml/2006/spreadsheetDrawing">
  <oneCellAnchor>
    <from>
      <col>0</col>
      <colOff>0</colOff>
      <row>17</row>
      <rowOff>0</rowOff>
    </from>
    <ext cx="93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5</col>
      <colOff>0</colOff>
      <row>3</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4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5</col>
      <colOff>0</colOff>
      <row>3</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4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H26"/>
  <sheetViews>
    <sheetView showGridLines="0" workbookViewId="0">
      <pane ySplit="11" topLeftCell="A12" activePane="bottomLeft" state="frozen"/>
      <selection pane="bottomLeft" activeCell="A1" sqref="A1"/>
    </sheetView>
  </sheetViews>
  <sheetFormatPr baseColWidth="8" defaultRowHeight="15"/>
  <cols>
    <col width="34" customWidth="1" min="1" max="1"/>
    <col width="10" customWidth="1" min="2" max="2"/>
    <col width="10" customWidth="1" min="3" max="3"/>
    <col width="14" customWidth="1" min="4" max="4"/>
    <col width="24" customWidth="1" min="5" max="5"/>
    <col width="10" customWidth="1" min="6" max="6"/>
    <col width="10" customWidth="1" min="7" max="7"/>
    <col width="10" customWidth="1" min="8" max="8"/>
  </cols>
  <sheetData>
    <row r="1" ht="32" customHeight="1">
      <c r="A1" s="1" t="inlineStr">
        <is>
          <t>NILE Platform — Production Support</t>
        </is>
      </c>
    </row>
    <row r="2" ht="22" customHeight="1">
      <c r="A2" s="2" t="inlineStr">
        <is>
          <t>Monthly Issue Report  ·  May 2026  ·  Auto-generated</t>
        </is>
      </c>
    </row>
    <row r="3" ht="8" customHeight="1">
      <c r="A3" s="3" t="n"/>
    </row>
    <row r="4" ht="10" customHeight="1"/>
    <row r="5" ht="20" customHeight="1">
      <c r="A5" s="4" t="inlineStr">
        <is>
          <t>Total Issues</t>
        </is>
      </c>
      <c r="C5" s="5" t="inlineStr">
        <is>
          <t>Pipeline Schedule</t>
        </is>
      </c>
      <c r="E5" s="6" t="inlineStr">
        <is>
          <t>Spooler issue</t>
        </is>
      </c>
      <c r="G5" s="5" t="inlineStr">
        <is>
          <t>Needs Review</t>
        </is>
      </c>
    </row>
    <row r="6" ht="32" customHeight="1">
      <c r="A6" s="7">
        <f>COUNTIF('Raw — May 2026'!$V$3:$V$10000,"&lt;&gt;")</f>
        <v/>
      </c>
      <c r="C6" s="8" t="inlineStr">
        <is>
          <t>29</t>
        </is>
      </c>
      <c r="E6" s="9" t="inlineStr">
        <is>
          <t>26</t>
        </is>
      </c>
      <c r="G6" s="8">
        <f>TEXT(IF(COUNTIF('Raw — May 2026'!$V$3:$V$10000,"&lt;&gt;")&gt;0,COUNTIF('Raw — May 2026'!$V$3:$V$10000,"Other")/COUNTIF('Raw — May 2026'!$V$3:$V$10000,"&lt;&gt;"),0),"0.0%")</f>
        <v/>
      </c>
    </row>
    <row r="7" ht="10" customHeight="1"/>
    <row r="8" ht="10" customHeight="1"/>
    <row r="9" ht="28" customHeight="1">
      <c r="A9" s="97" t="inlineStr">
        <is>
          <t>⚠  Health Status:  Needs Review rate is high (42.6%). Top issue: Pipeline Schedule (29). Consider expanding keywords in config.py.</t>
        </is>
      </c>
    </row>
    <row r="10" ht="10" customHeight="1"/>
    <row r="11" ht="10" customHeight="1"/>
    <row r="12" ht="22" customHeight="1">
      <c r="A12" s="11" t="inlineStr">
        <is>
          <t>Category</t>
        </is>
      </c>
      <c r="B12" s="11" t="inlineStr">
        <is>
          <t>Count</t>
        </is>
      </c>
      <c r="C12" s="11" t="inlineStr">
        <is>
          <t>% Share</t>
        </is>
      </c>
      <c r="D12" s="11" t="inlineStr">
        <is>
          <t>vs Last Month</t>
        </is>
      </c>
      <c r="E12" s="11" t="inlineStr">
        <is>
          <t>Trend Bar</t>
        </is>
      </c>
    </row>
    <row r="13" ht="20" customHeight="1">
      <c r="A13" s="12" t="inlineStr">
        <is>
          <t>Configuration Issue</t>
        </is>
      </c>
      <c r="B13" s="13" t="n">
        <v>20</v>
      </c>
      <c r="C13" s="14" t="inlineStr">
        <is>
          <t>9.6%</t>
        </is>
      </c>
      <c r="D13" s="98" t="inlineStr">
        <is>
          <t>▼ -11</t>
        </is>
      </c>
      <c r="E13" s="16" t="inlineStr">
        <is>
          <t>████</t>
        </is>
      </c>
    </row>
    <row r="14" ht="20" customHeight="1">
      <c r="A14" s="17" t="inlineStr">
        <is>
          <t>File Issue</t>
        </is>
      </c>
      <c r="B14" s="18" t="n">
        <v>13</v>
      </c>
      <c r="C14" s="19" t="inlineStr">
        <is>
          <t>6.2%</t>
        </is>
      </c>
      <c r="D14" s="99" t="inlineStr">
        <is>
          <t>▼ -15</t>
        </is>
      </c>
      <c r="E14" s="21" t="inlineStr">
        <is>
          <t>███</t>
        </is>
      </c>
    </row>
    <row r="15" ht="20" customHeight="1">
      <c r="A15" s="12" t="inlineStr">
        <is>
          <t>Spooler issue</t>
        </is>
      </c>
      <c r="B15" s="13" t="n">
        <v>26</v>
      </c>
      <c r="C15" s="14" t="inlineStr">
        <is>
          <t>12.4%</t>
        </is>
      </c>
      <c r="D15" s="100" t="inlineStr">
        <is>
          <t>▲ +4</t>
        </is>
      </c>
      <c r="E15" s="22" t="inlineStr">
        <is>
          <t>██████</t>
        </is>
      </c>
    </row>
    <row r="16" ht="20" customHeight="1">
      <c r="A16" s="17" t="inlineStr">
        <is>
          <t>Data Issue</t>
        </is>
      </c>
      <c r="B16" s="18" t="n">
        <v>6</v>
      </c>
      <c r="C16" s="19" t="inlineStr">
        <is>
          <t>2.9%</t>
        </is>
      </c>
      <c r="D16" s="99" t="inlineStr">
        <is>
          <t>▼ -6</t>
        </is>
      </c>
      <c r="E16" s="23" t="inlineStr">
        <is>
          <t>█</t>
        </is>
      </c>
    </row>
    <row r="17" ht="20" customHeight="1">
      <c r="A17" s="12" t="inlineStr">
        <is>
          <t>File Missing</t>
        </is>
      </c>
      <c r="B17" s="13" t="n">
        <v>3</v>
      </c>
      <c r="C17" s="14" t="inlineStr">
        <is>
          <t>1.4%</t>
        </is>
      </c>
      <c r="D17" s="98" t="inlineStr">
        <is>
          <t>▼ -12</t>
        </is>
      </c>
      <c r="E17" s="24" t="inlineStr">
        <is>
          <t>█</t>
        </is>
      </c>
    </row>
    <row r="18" ht="20" customHeight="1">
      <c r="A18" s="17" t="inlineStr">
        <is>
          <t>Unmatched raw data count</t>
        </is>
      </c>
      <c r="B18" s="18" t="n">
        <v>3</v>
      </c>
      <c r="C18" s="19" t="inlineStr">
        <is>
          <t>1.4%</t>
        </is>
      </c>
      <c r="D18" s="101" t="inlineStr">
        <is>
          <t>— same</t>
        </is>
      </c>
      <c r="E18" s="25" t="inlineStr">
        <is>
          <t>█</t>
        </is>
      </c>
    </row>
    <row r="19" ht="20" customHeight="1">
      <c r="A19" s="12" t="inlineStr">
        <is>
          <t>Pipeline Schedule</t>
        </is>
      </c>
      <c r="B19" s="13" t="n">
        <v>29</v>
      </c>
      <c r="C19" s="14" t="inlineStr">
        <is>
          <t>13.9%</t>
        </is>
      </c>
      <c r="D19" s="100" t="inlineStr">
        <is>
          <t>▲ +4</t>
        </is>
      </c>
      <c r="E19" s="26" t="inlineStr">
        <is>
          <t>███████</t>
        </is>
      </c>
    </row>
    <row r="20" ht="20" customHeight="1">
      <c r="A20" s="17" t="inlineStr">
        <is>
          <t>DB Issue</t>
        </is>
      </c>
      <c r="B20" s="18" t="n">
        <v>2</v>
      </c>
      <c r="C20" s="19" t="inlineStr">
        <is>
          <t>1.0%</t>
        </is>
      </c>
      <c r="D20" s="101" t="inlineStr">
        <is>
          <t>— same</t>
        </is>
      </c>
      <c r="E20" s="27" t="inlineStr">
        <is>
          <t>█</t>
        </is>
      </c>
    </row>
    <row r="21" ht="20" customHeight="1">
      <c r="A21" s="12" t="inlineStr">
        <is>
          <t>Schema issue</t>
        </is>
      </c>
      <c r="B21" s="13" t="n">
        <v>7</v>
      </c>
      <c r="C21" s="14" t="inlineStr">
        <is>
          <t>3.3%</t>
        </is>
      </c>
      <c r="D21" s="102" t="inlineStr">
        <is>
          <t>— same</t>
        </is>
      </c>
      <c r="E21" s="103" t="inlineStr">
        <is>
          <t>██</t>
        </is>
      </c>
    </row>
    <row r="22" ht="20" customHeight="1">
      <c r="A22" s="17" t="inlineStr">
        <is>
          <t>Issue Platform</t>
        </is>
      </c>
      <c r="B22" s="18" t="n">
        <v>11</v>
      </c>
      <c r="C22" s="19" t="inlineStr">
        <is>
          <t>5.3%</t>
        </is>
      </c>
      <c r="D22" s="104" t="inlineStr">
        <is>
          <t>▲ +7</t>
        </is>
      </c>
      <c r="E22" s="105" t="inlineStr">
        <is>
          <t>██</t>
        </is>
      </c>
    </row>
    <row r="23" ht="20" customHeight="1">
      <c r="A23" s="12" t="inlineStr">
        <is>
          <t>Other</t>
        </is>
      </c>
      <c r="B23" s="13" t="n">
        <v>89</v>
      </c>
      <c r="C23" s="14" t="inlineStr">
        <is>
          <t>42.6%</t>
        </is>
      </c>
      <c r="D23" s="100" t="inlineStr">
        <is>
          <t>▲ +6</t>
        </is>
      </c>
      <c r="E23" s="106" t="inlineStr">
        <is>
          <t>████████████████████</t>
        </is>
      </c>
    </row>
    <row r="24" ht="22" customHeight="1">
      <c r="A24" s="32" t="inlineStr">
        <is>
          <t>TOTAL</t>
        </is>
      </c>
      <c r="B24" s="33" t="n">
        <v>209</v>
      </c>
      <c r="C24" s="33" t="inlineStr">
        <is>
          <t>100%</t>
        </is>
      </c>
      <c r="D24" s="33" t="n"/>
      <c r="E24" s="33" t="n"/>
    </row>
    <row r="26" ht="16" customHeight="1">
      <c r="A26" s="34" t="inlineStr">
        <is>
          <t>All figures are auto-generated from the Jira export. Re-run the tracker to refresh. Needs Review tickets require manual categorization.</t>
        </is>
      </c>
    </row>
  </sheetData>
  <mergeCells count="13">
    <mergeCell ref="A9:H9"/>
    <mergeCell ref="A3:H3"/>
    <mergeCell ref="E6:F6"/>
    <mergeCell ref="C6:D6"/>
    <mergeCell ref="A26:H26"/>
    <mergeCell ref="A2:H2"/>
    <mergeCell ref="C5:D5"/>
    <mergeCell ref="A5:B5"/>
    <mergeCell ref="G5:H5"/>
    <mergeCell ref="E5:F5"/>
    <mergeCell ref="G6:H6"/>
    <mergeCell ref="A1:H1"/>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10" customWidth="1" min="3" max="3"/>
    <col width="13" customWidth="1" min="4" max="4"/>
    <col width="10" customWidth="1" min="5" max="5"/>
  </cols>
  <sheetData>
    <row r="1" ht="30" customHeight="1">
      <c r="A1" s="35" t="inlineStr">
        <is>
          <t>NILE Platform — Production Support  |  All Months Issue Summary</t>
        </is>
      </c>
    </row>
    <row r="3" ht="22" customHeight="1">
      <c r="A3" s="36" t="inlineStr">
        <is>
          <t>Category</t>
        </is>
      </c>
      <c r="B3" s="11" t="inlineStr">
        <is>
          <t>Apr 2026</t>
        </is>
      </c>
      <c r="C3" s="37" t="inlineStr">
        <is>
          <t>% Share</t>
        </is>
      </c>
      <c r="D3" s="11" t="inlineStr">
        <is>
          <t>May 2026</t>
        </is>
      </c>
      <c r="E3" s="37" t="inlineStr">
        <is>
          <t>% Share</t>
        </is>
      </c>
    </row>
    <row r="4" ht="20" customHeight="1">
      <c r="A4" s="17" t="inlineStr">
        <is>
          <t>Configuration Issue</t>
        </is>
      </c>
      <c r="B4" s="18">
        <f>COUNTIF('Raw — Apr 2026'!$V$3:$V$10000,"Configuration Issue")</f>
        <v/>
      </c>
      <c r="C4" s="38">
        <f>IF(B16&gt;0,B4/B16,0)</f>
        <v/>
      </c>
      <c r="D4" s="18">
        <f>COUNTIF('Raw — May 2026'!$V$3:$V$10000,"Configuration Issue")</f>
        <v/>
      </c>
      <c r="E4" s="38">
        <f>IF(D16&gt;0,D4/D16,0)</f>
        <v/>
      </c>
    </row>
    <row r="5" ht="20" customHeight="1">
      <c r="A5" s="12" t="inlineStr">
        <is>
          <t>File Issue</t>
        </is>
      </c>
      <c r="B5" s="13">
        <f>COUNTIF('Raw — Apr 2026'!$V$3:$V$10000,"File Issue")</f>
        <v/>
      </c>
      <c r="C5" s="39">
        <f>IF(B16&gt;0,B5/B16,0)</f>
        <v/>
      </c>
      <c r="D5" s="13">
        <f>COUNTIF('Raw — May 2026'!$V$3:$V$10000,"File Issue")</f>
        <v/>
      </c>
      <c r="E5" s="39">
        <f>IF(D16&gt;0,D5/D16,0)</f>
        <v/>
      </c>
    </row>
    <row r="6" ht="20" customHeight="1">
      <c r="A6" s="17" t="inlineStr">
        <is>
          <t>Spooler issue</t>
        </is>
      </c>
      <c r="B6" s="18">
        <f>COUNTIF('Raw — Apr 2026'!$V$3:$V$10000,"Spooler issue")</f>
        <v/>
      </c>
      <c r="C6" s="38">
        <f>IF(B16&gt;0,B6/B16,0)</f>
        <v/>
      </c>
      <c r="D6" s="18">
        <f>COUNTIF('Raw — May 2026'!$V$3:$V$10000,"Spooler issue")</f>
        <v/>
      </c>
      <c r="E6" s="38">
        <f>IF(D16&gt;0,D6/D16,0)</f>
        <v/>
      </c>
    </row>
    <row r="7" ht="20" customHeight="1">
      <c r="A7" s="12" t="inlineStr">
        <is>
          <t>Data Issue</t>
        </is>
      </c>
      <c r="B7" s="13">
        <f>COUNTIF('Raw — Apr 2026'!$V$3:$V$10000,"Data Issue")</f>
        <v/>
      </c>
      <c r="C7" s="39">
        <f>IF(B16&gt;0,B7/B16,0)</f>
        <v/>
      </c>
      <c r="D7" s="13">
        <f>COUNTIF('Raw — May 2026'!$V$3:$V$10000,"Data Issue")</f>
        <v/>
      </c>
      <c r="E7" s="39">
        <f>IF(D16&gt;0,D7/D16,0)</f>
        <v/>
      </c>
    </row>
    <row r="8" ht="20" customHeight="1">
      <c r="A8" s="17" t="inlineStr">
        <is>
          <t>File Missing</t>
        </is>
      </c>
      <c r="B8" s="18">
        <f>COUNTIF('Raw — Apr 2026'!$V$3:$V$10000,"File Missing")</f>
        <v/>
      </c>
      <c r="C8" s="38">
        <f>IF(B16&gt;0,B8/B16,0)</f>
        <v/>
      </c>
      <c r="D8" s="18">
        <f>COUNTIF('Raw — May 2026'!$V$3:$V$10000,"File Missing")</f>
        <v/>
      </c>
      <c r="E8" s="38">
        <f>IF(D16&gt;0,D8/D16,0)</f>
        <v/>
      </c>
    </row>
    <row r="9" ht="20" customHeight="1">
      <c r="A9" s="12" t="inlineStr">
        <is>
          <t>Unmatched raw data count</t>
        </is>
      </c>
      <c r="B9" s="13">
        <f>COUNTIF('Raw — Apr 2026'!$V$3:$V$10000,"Unmatched raw data count")</f>
        <v/>
      </c>
      <c r="C9" s="39">
        <f>IF(B16&gt;0,B9/B16,0)</f>
        <v/>
      </c>
      <c r="D9" s="13">
        <f>COUNTIF('Raw — May 2026'!$V$3:$V$10000,"Unmatched raw data count")</f>
        <v/>
      </c>
      <c r="E9" s="39">
        <f>IF(D16&gt;0,D9/D16,0)</f>
        <v/>
      </c>
    </row>
    <row r="10" ht="20" customHeight="1">
      <c r="A10" s="17" t="inlineStr">
        <is>
          <t>Pipeline Schedule</t>
        </is>
      </c>
      <c r="B10" s="18">
        <f>COUNTIF('Raw — Apr 2026'!$V$3:$V$10000,"Pipeline Schedule")</f>
        <v/>
      </c>
      <c r="C10" s="38">
        <f>IF(B16&gt;0,B10/B16,0)</f>
        <v/>
      </c>
      <c r="D10" s="18">
        <f>COUNTIF('Raw — May 2026'!$V$3:$V$10000,"Pipeline Schedule")</f>
        <v/>
      </c>
      <c r="E10" s="38">
        <f>IF(D16&gt;0,D10/D16,0)</f>
        <v/>
      </c>
    </row>
    <row r="11" ht="20" customHeight="1">
      <c r="A11" s="12" t="inlineStr">
        <is>
          <t>DB Issue</t>
        </is>
      </c>
      <c r="B11" s="13">
        <f>COUNTIF('Raw — Apr 2026'!$V$3:$V$10000,"DB Issue")</f>
        <v/>
      </c>
      <c r="C11" s="39">
        <f>IF(B16&gt;0,B11/B16,0)</f>
        <v/>
      </c>
      <c r="D11" s="13">
        <f>COUNTIF('Raw — May 2026'!$V$3:$V$10000,"DB Issue")</f>
        <v/>
      </c>
      <c r="E11" s="39">
        <f>IF(D16&gt;0,D11/D16,0)</f>
        <v/>
      </c>
    </row>
    <row r="12" ht="20" customHeight="1">
      <c r="A12" s="17" t="inlineStr">
        <is>
          <t>Metric drop</t>
        </is>
      </c>
      <c r="B12" s="18">
        <f>COUNTIF('Raw — Apr 2026'!$V$3:$V$10000,"Metric drop")</f>
        <v/>
      </c>
      <c r="C12" s="38">
        <f>IF(B16&gt;0,B12/B16,0)</f>
        <v/>
      </c>
      <c r="D12" s="18">
        <f>COUNTIF('Raw — May 2026'!$V$3:$V$10000,"Metric drop")</f>
        <v/>
      </c>
      <c r="E12" s="38">
        <f>IF(D16&gt;0,D12/D16,0)</f>
        <v/>
      </c>
    </row>
    <row r="13" ht="20" customHeight="1">
      <c r="A13" s="12" t="inlineStr">
        <is>
          <t>Schema issue</t>
        </is>
      </c>
      <c r="B13" s="13">
        <f>COUNTIF('Raw — Apr 2026'!$V$3:$V$10000,"Schema issue")</f>
        <v/>
      </c>
      <c r="C13" s="39">
        <f>IF(B16&gt;0,B13/B16,0)</f>
        <v/>
      </c>
      <c r="D13" s="13">
        <f>COUNTIF('Raw — May 2026'!$V$3:$V$10000,"Schema issue")</f>
        <v/>
      </c>
      <c r="E13" s="39">
        <f>IF(D16&gt;0,D13/D16,0)</f>
        <v/>
      </c>
    </row>
    <row r="14" ht="20" customHeight="1">
      <c r="A14" s="17" t="inlineStr">
        <is>
          <t>Issue Platform</t>
        </is>
      </c>
      <c r="B14" s="18">
        <f>COUNTIF('Raw — Apr 2026'!$V$3:$V$10000,"Issue Platform")</f>
        <v/>
      </c>
      <c r="C14" s="38">
        <f>IF(B16&gt;0,B14/B16,0)</f>
        <v/>
      </c>
      <c r="D14" s="18">
        <f>COUNTIF('Raw — May 2026'!$V$3:$V$10000,"Issue Platform")</f>
        <v/>
      </c>
      <c r="E14" s="38">
        <f>IF(D16&gt;0,D14/D16,0)</f>
        <v/>
      </c>
    </row>
    <row r="15" ht="20" customHeight="1">
      <c r="A15" s="12" t="inlineStr">
        <is>
          <t>Other</t>
        </is>
      </c>
      <c r="B15" s="13">
        <f>COUNTIF('Raw — Apr 2026'!$V$3:$V$10000,"Other")</f>
        <v/>
      </c>
      <c r="C15" s="39">
        <f>IF(B16&gt;0,B15/B16,0)</f>
        <v/>
      </c>
      <c r="D15" s="13">
        <f>COUNTIF('Raw — May 2026'!$V$3:$V$10000,"Other")</f>
        <v/>
      </c>
      <c r="E15" s="39">
        <f>IF(D16&gt;0,D15/D16,0)</f>
        <v/>
      </c>
    </row>
    <row r="16" ht="24" customHeight="1">
      <c r="A16" s="32" t="inlineStr">
        <is>
          <t>TOTAL</t>
        </is>
      </c>
      <c r="B16" s="40">
        <f>SUM(B4:B15)</f>
        <v/>
      </c>
      <c r="C16" s="41" t="inlineStr">
        <is>
          <t>100%</t>
        </is>
      </c>
      <c r="D16" s="40">
        <f>SUM(D4:D15)</f>
        <v/>
      </c>
      <c r="E16" s="41" t="inlineStr">
        <is>
          <t>100%</t>
        </is>
      </c>
    </row>
  </sheetData>
  <mergeCells count="1">
    <mergeCell ref="A1:E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W238"/>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42" customWidth="1" min="5" max="5"/>
    <col width="30" customWidth="1" min="6" max="6"/>
    <col width="24" customWidth="1" min="7" max="7"/>
    <col width="20" customWidth="1" min="8" max="8"/>
    <col width="20" customWidth="1" min="9" max="9"/>
    <col width="18" customWidth="1" min="10" max="10"/>
    <col width="14" customWidth="1" min="11" max="11"/>
    <col width="14" customWidth="1" min="12" max="12"/>
    <col width="14" customWidth="1" min="13" max="13"/>
    <col width="24" customWidth="1" min="14" max="14"/>
    <col width="18" customWidth="1" min="15" max="15"/>
    <col width="18" customWidth="1" min="16" max="16"/>
    <col width="24" customWidth="1" min="17" max="17"/>
    <col width="20" customWidth="1" min="18" max="18"/>
    <col width="20" customWidth="1" min="19" max="19"/>
    <col width="20" customWidth="1" min="20" max="20"/>
    <col width="12" customWidth="1" min="21" max="21"/>
    <col width="14" customWidth="1" min="22" max="22"/>
    <col width="14" customWidth="1" min="23" max="23"/>
  </cols>
  <sheetData>
    <row r="1" ht="28" customHeight="1">
      <c r="A1" s="42" t="inlineStr">
        <is>
          <t>NILE Pipeline Issues — April 2026</t>
        </is>
      </c>
    </row>
    <row r="2" ht="22" customHeight="1">
      <c r="A2" s="11" t="inlineStr">
        <is>
          <t>Key</t>
        </is>
      </c>
      <c r="B2" s="11" t="inlineStr">
        <is>
          <t>Issue id</t>
        </is>
      </c>
      <c r="C2" s="11" t="inlineStr">
        <is>
          <t>Parent id</t>
        </is>
      </c>
      <c r="D2" s="11" t="inlineStr">
        <is>
          <t>Summary</t>
        </is>
      </c>
      <c r="E2" s="11" t="inlineStr">
        <is>
          <t>Description</t>
        </is>
      </c>
      <c r="F2" s="11" t="inlineStr">
        <is>
          <t>Comment</t>
        </is>
      </c>
      <c r="G2" s="11" t="inlineStr">
        <is>
          <t>Close Notes</t>
        </is>
      </c>
      <c r="H2" s="11" t="inlineStr">
        <is>
          <t>Categories</t>
        </is>
      </c>
      <c r="I2" s="11" t="inlineStr">
        <is>
          <t>New Categories</t>
        </is>
      </c>
      <c r="J2" s="11" t="inlineStr">
        <is>
          <t>Assign</t>
        </is>
      </c>
      <c r="K2" s="11" t="inlineStr">
        <is>
          <t>Status</t>
        </is>
      </c>
      <c r="L2" s="11" t="inlineStr">
        <is>
          <t>Created</t>
        </is>
      </c>
      <c r="M2" s="11" t="inlineStr">
        <is>
          <t>Updated</t>
        </is>
      </c>
      <c r="N2" s="11" t="inlineStr">
        <is>
          <t>Custom field (Assignment Group)</t>
        </is>
      </c>
      <c r="O2" s="11" t="inlineStr">
        <is>
          <t>Assignee</t>
        </is>
      </c>
      <c r="P2" s="11" t="inlineStr">
        <is>
          <t>Reporter</t>
        </is>
      </c>
      <c r="Q2" s="11" t="inlineStr">
        <is>
          <t>Resolution</t>
        </is>
      </c>
      <c r="R2" s="11" t="inlineStr">
        <is>
          <t>Custom field (Comments)</t>
        </is>
      </c>
      <c r="S2" s="11" t="inlineStr">
        <is>
          <t>Inward issue link (Cloners)</t>
        </is>
      </c>
      <c r="T2" s="11" t="inlineStr">
        <is>
          <t>Outward issue link (Cloners)</t>
        </is>
      </c>
      <c r="U2" s="11" t="inlineStr">
        <is>
          <t>Inward issue link (Relates)</t>
        </is>
      </c>
      <c r="V2" s="11" t="inlineStr">
        <is>
          <t>Category</t>
        </is>
      </c>
      <c r="W2" s="11" t="inlineStr">
        <is>
          <t>Review Required</t>
        </is>
      </c>
    </row>
    <row r="3">
      <c r="A3" s="43" t="inlineStr">
        <is>
          <t>IT-3023323</t>
        </is>
      </c>
      <c r="B3" s="43" t="inlineStr">
        <is>
          <t>IT-3023323</t>
        </is>
      </c>
      <c r="C3" s="43" t="inlineStr"/>
      <c r="D3" s="44" t="inlineStr">
        <is>
          <t>Monthly pipeline dm-uhc-unet-actian_migration_provider_npi_detail has failed for data date: 202604</t>
        </is>
      </c>
      <c r="E3" s="44" t="inlineStr">
        <is>
          <t>Pipeline dm-uhc-unet-actian_migration_provider_npi_detail has failed with the error message: Source file schema is not matching with the Table Schema, Please check Column names and their Data-types. Please investigate</t>
        </is>
      </c>
      <c r="F3" s="44" t="inlineStr">
        <is>
          <t>We are using the dm-uhc-unet-actian_migration_provider_npi_detail _newtemp pipeline, so we won't need to ingest with this pipeline anymore. Thank you melly</t>
        </is>
      </c>
      <c r="G3" s="44" t="inlineStr">
        <is>
          <t>Use the _newtemp pipeline to ingest.</t>
        </is>
      </c>
      <c r="H3" s="43" t="inlineStr">
        <is>
          <t>Other</t>
        </is>
      </c>
      <c r="I3" s="43" t="inlineStr">
        <is>
          <t>Other</t>
        </is>
      </c>
      <c r="J3" s="43" t="inlineStr"/>
      <c r="K3" s="43" t="inlineStr">
        <is>
          <t>Closed</t>
        </is>
      </c>
      <c r="L3" s="43" t="inlineStr">
        <is>
          <t>2026-04-29</t>
        </is>
      </c>
      <c r="M3" s="43" t="inlineStr">
        <is>
          <t>2026-04-30</t>
        </is>
      </c>
      <c r="N3" s="43" t="inlineStr">
        <is>
          <t>Nile Production Support</t>
        </is>
      </c>
      <c r="O3" s="43" t="inlineStr">
        <is>
          <t>Unassigned</t>
        </is>
      </c>
      <c r="P3" s="43" t="inlineStr">
        <is>
          <t>Acharya, Suraj</t>
        </is>
      </c>
      <c r="Q3" s="43" t="inlineStr">
        <is>
          <t>Resolved</t>
        </is>
      </c>
      <c r="R3" s="44" t="inlineStr">
        <is>
          <t>We are using the dm-uhc-unet-actian_migration_provider_npi_detail _newtemp pipeline, so we won't need to ingest with this pipeline anymore. Thank you melly</t>
        </is>
      </c>
      <c r="S3" s="43" t="inlineStr"/>
      <c r="T3" s="43" t="inlineStr"/>
      <c r="U3" s="43" t="inlineStr"/>
      <c r="V3" s="45" t="inlineStr">
        <is>
          <t>Schema issue</t>
        </is>
      </c>
      <c r="W3" s="43" t="inlineStr"/>
    </row>
    <row r="4">
      <c r="A4" s="46" t="inlineStr">
        <is>
          <t>IT-3023321</t>
        </is>
      </c>
      <c r="B4" s="46" t="inlineStr">
        <is>
          <t>IT-3023321</t>
        </is>
      </c>
      <c r="C4" s="46" t="inlineStr"/>
      <c r="D4" s="47" t="inlineStr">
        <is>
          <t>HCSCG - History PROF &amp; INST. Files Missing - 04/28/2026</t>
        </is>
      </c>
      <c r="E4" s="47" t="inlineStr">
        <is>
          <t>Hi Nile Team, We are missing HCSCG History Professional and Institutional for 04/24, So please check and provide us an update. hcscg_history_incoming_1 hcscg_ophistory_incoming_1</t>
        </is>
      </c>
      <c r="F4" s="47" t="inlineStr"/>
      <c r="G4" s="47" t="inlineStr">
        <is>
          <t>Files received and processed successfully.</t>
        </is>
      </c>
      <c r="H4" s="46" t="inlineStr"/>
      <c r="I4" s="46" t="inlineStr"/>
      <c r="J4" s="46" t="inlineStr"/>
      <c r="K4" s="46" t="inlineStr">
        <is>
          <t>Closed</t>
        </is>
      </c>
      <c r="L4" s="46" t="inlineStr">
        <is>
          <t>2026-04-29</t>
        </is>
      </c>
      <c r="M4" s="46" t="inlineStr">
        <is>
          <t>2026-05-01</t>
        </is>
      </c>
      <c r="N4" s="46" t="inlineStr">
        <is>
          <t>Nile Production Support</t>
        </is>
      </c>
      <c r="O4" s="46" t="inlineStr">
        <is>
          <t>Unassigned</t>
        </is>
      </c>
      <c r="P4" s="46" t="inlineStr">
        <is>
          <t>Gudala, Kumaraswamy</t>
        </is>
      </c>
      <c r="Q4" s="46" t="inlineStr">
        <is>
          <t>Closed</t>
        </is>
      </c>
      <c r="R4" s="47" t="inlineStr"/>
      <c r="S4" s="46" t="inlineStr"/>
      <c r="T4" s="46" t="inlineStr"/>
      <c r="U4" s="46" t="inlineStr"/>
      <c r="V4" s="48" t="inlineStr">
        <is>
          <t>File Missing</t>
        </is>
      </c>
      <c r="W4" s="46" t="inlineStr"/>
    </row>
    <row r="5">
      <c r="A5" s="43" t="inlineStr">
        <is>
          <t>IT-3023116</t>
        </is>
      </c>
      <c r="B5" s="43" t="inlineStr">
        <is>
          <t>IT-3023116</t>
        </is>
      </c>
      <c r="C5" s="43" t="inlineStr"/>
      <c r="D5" s="44" t="inlineStr">
        <is>
          <t>dm-bcbs_ma_bcbs_ma-actian_migration_caqh_and_bmc_workflow_CHC_BCBS_MA_ADH_CAQH_Load_NILE</t>
        </is>
      </c>
      <c r="E5" s="44" t="inlineStr">
        <is>
          <t>Weekly pipeline has been failing for over a month. The client has been sending file as CAQH File.* instead of CAQH file.* (lowercase). Pipeline is manually rerun each week using Override Parameters to complete successfully old {"source_data_pattern": "CAQH file .*.xlsx", "source_entity_1_file_pattern": "CAQH file .*.xlsx"} new {"source_data_pattern": "CAQH File .*.xlsx", "source_entity_1_file_pattern": "CAQH File.*.xlsx"} Suggestion : set source_data_pattern and source_entity_1_file_pattern to CAQH. * . xslx to account for both variations the client sends, or CAQH File . .xlsx</t>
        </is>
      </c>
      <c r="F5" s="44" t="inlineStr"/>
      <c r="G5" s="44" t="inlineStr">
        <is>
          <t>Updated {"source_data_pattern": "CAQH File .*.xlsx", "source_entity_1_file_pattern": "CAQH File.*.xlsx"}</t>
        </is>
      </c>
      <c r="H5" s="43" t="inlineStr">
        <is>
          <t>Other</t>
        </is>
      </c>
      <c r="I5" s="43" t="inlineStr">
        <is>
          <t>Other</t>
        </is>
      </c>
      <c r="J5" s="43" t="inlineStr"/>
      <c r="K5" s="43" t="inlineStr">
        <is>
          <t>Closed</t>
        </is>
      </c>
      <c r="L5" s="43" t="inlineStr">
        <is>
          <t>2026-04-29</t>
        </is>
      </c>
      <c r="M5" s="43" t="inlineStr">
        <is>
          <t>2026-04-29</t>
        </is>
      </c>
      <c r="N5" s="43" t="inlineStr">
        <is>
          <t>Nile Production Support</t>
        </is>
      </c>
      <c r="O5" s="43" t="inlineStr">
        <is>
          <t>Unassigned</t>
        </is>
      </c>
      <c r="P5" s="43" t="inlineStr">
        <is>
          <t>Easley, Keaton</t>
        </is>
      </c>
      <c r="Q5" s="43" t="inlineStr">
        <is>
          <t>Resolved</t>
        </is>
      </c>
      <c r="R5" s="44" t="inlineStr"/>
      <c r="S5" s="43" t="inlineStr"/>
      <c r="T5" s="43" t="inlineStr"/>
      <c r="U5" s="43" t="inlineStr"/>
      <c r="V5" s="49" t="inlineStr">
        <is>
          <t>Configuration Issue</t>
        </is>
      </c>
      <c r="W5" s="43" t="inlineStr"/>
    </row>
    <row r="6">
      <c r="A6" s="46" t="inlineStr">
        <is>
          <t>IT-3022913</t>
        </is>
      </c>
      <c r="B6" s="46" t="inlineStr">
        <is>
          <t>IT-3022913</t>
        </is>
      </c>
      <c r="C6" s="46" t="inlineStr"/>
      <c r="D6" s="47" t="inlineStr">
        <is>
          <t>BCBS_MA CAQH files not ingested for April '26</t>
        </is>
      </c>
      <c r="E6" s="47" t="inlineStr">
        <is>
          <t>Hello Nile team , BCBS_MA CAQH weekly files have not been ingested for April '26. The latest file we have in SQL is :- C*AQH File 20260407.xlsx* pipeline :- dm-bcbs_ma_bcbs_ma-actian_migration_caqh_and_bmc_workflow_CHC_BCBS_MA_ADH_CAQH_Load_NILE Missing files that Nile received but ingestion was not complete : - C*AQH File 20260414.xlsx* C*AQH File 20260421.xlsx* C*AQH File 20260428.xlsx* Thanks, Teena.</t>
        </is>
      </c>
      <c r="F6" s="47" t="inlineStr"/>
      <c r="G6" s="47" t="inlineStr">
        <is>
          <t>Ingestion completed for all outstanding files</t>
        </is>
      </c>
      <c r="H6" s="46" t="inlineStr"/>
      <c r="I6" s="46" t="inlineStr"/>
      <c r="J6" s="46" t="inlineStr"/>
      <c r="K6" s="46" t="inlineStr">
        <is>
          <t>Closed</t>
        </is>
      </c>
      <c r="L6" s="46" t="inlineStr">
        <is>
          <t>2026-04-29</t>
        </is>
      </c>
      <c r="M6" s="46" t="inlineStr">
        <is>
          <t>2026-04-30</t>
        </is>
      </c>
      <c r="N6" s="46" t="inlineStr">
        <is>
          <t>Nile Production Support</t>
        </is>
      </c>
      <c r="O6" s="46" t="inlineStr">
        <is>
          <t>Unassigned</t>
        </is>
      </c>
      <c r="P6" s="46" t="inlineStr">
        <is>
          <t>Vandanath, Teena</t>
        </is>
      </c>
      <c r="Q6" s="46" t="inlineStr">
        <is>
          <t>Closed</t>
        </is>
      </c>
      <c r="R6" s="47" t="inlineStr"/>
      <c r="S6" s="46" t="inlineStr"/>
      <c r="T6" s="46" t="inlineStr"/>
      <c r="U6" s="46" t="inlineStr"/>
      <c r="V6" s="50" t="inlineStr">
        <is>
          <t>File Issue</t>
        </is>
      </c>
      <c r="W6" s="46" t="inlineStr"/>
    </row>
    <row r="7">
      <c r="A7" s="43" t="inlineStr">
        <is>
          <t>IT-3022274</t>
        </is>
      </c>
      <c r="B7" s="43" t="inlineStr">
        <is>
          <t>IT-3022274</t>
        </is>
      </c>
      <c r="C7" s="43" t="inlineStr"/>
      <c r="D7" s="44" t="inlineStr">
        <is>
          <t>Request for Data Validation: Claim Raw/model vs NILE Raw Data (Claims Header Fields)</t>
        </is>
      </c>
      <c r="E7" s="44" t="inlineStr">
        <is>
          <t>Client: BCBS_ND We are validating data in the ARK platform and observed that all fields in the Claims Header are populated from the Claim model, which in turn is sourced from Claim raw data. The values in the Claim model and raw data match exactly with the Claims Header, indicating that the data is loading as per the current logic. Since the Claim model data originates from NILE, we would like to understand how the raw data from NILE is structured and whether any transformations are applied to the relevant columns before being delivered downstream. Currently, we do not have visibility into the NILE raw files/tables to verify this. For example members CH_PATIENT_CLIENT_MASTER_ID (member_id) IN (135557853, 66442765, 93553925), OPS has requested validation of the raw data to determine whether the client is sending multiple policy/UMI plans per member. The goal is to identify whether the root cause of the mapping issue is related to how the client sends the data or a Cotiviti mapping issue. The columns to validate in the Claims Header are [PatNum] , [PatFirstName] , [PatLastName] , [EmployerName] , and [GroupNum] , with corresponding Claim Model/Raw columns CH_PATIENT_CLIENT_ID, CH_PATIENT_FIRST_NAME, CH_PATIENT_LAST_NAME, CH_GROUP_NAME, and CH_GROUP_NUMBER.</t>
        </is>
      </c>
      <c r="F7" s="44" t="inlineStr"/>
      <c r="G7" s="44" t="inlineStr"/>
      <c r="H7" s="43" t="inlineStr">
        <is>
          <t>Other</t>
        </is>
      </c>
      <c r="I7" s="43" t="inlineStr">
        <is>
          <t>Other</t>
        </is>
      </c>
      <c r="J7" s="43" t="inlineStr"/>
      <c r="K7" s="43" t="inlineStr">
        <is>
          <t>Open</t>
        </is>
      </c>
      <c r="L7" s="43" t="inlineStr">
        <is>
          <t>2026-04-29</t>
        </is>
      </c>
      <c r="M7" s="43" t="inlineStr">
        <is>
          <t>2026-04-29</t>
        </is>
      </c>
      <c r="N7" s="43" t="inlineStr">
        <is>
          <t>Nile Production Support</t>
        </is>
      </c>
      <c r="O7" s="43" t="inlineStr">
        <is>
          <t>Unassigned</t>
        </is>
      </c>
      <c r="P7" s="43" t="inlineStr">
        <is>
          <t>Hagelin, Lindsay</t>
        </is>
      </c>
      <c r="Q7" s="43" t="inlineStr">
        <is>
          <t>Unresolved</t>
        </is>
      </c>
      <c r="R7" s="44" t="inlineStr"/>
      <c r="S7" s="43" t="inlineStr"/>
      <c r="T7" s="43" t="inlineStr"/>
      <c r="U7" s="43" t="inlineStr"/>
      <c r="V7" s="51" t="inlineStr">
        <is>
          <t>Data Issue</t>
        </is>
      </c>
      <c r="W7" s="43" t="inlineStr"/>
    </row>
    <row r="8">
      <c r="A8" s="46" t="inlineStr">
        <is>
          <t>IT-3022254</t>
        </is>
      </c>
      <c r="B8" s="46" t="inlineStr">
        <is>
          <t>IT-3022254</t>
        </is>
      </c>
      <c r="C8" s="46" t="inlineStr"/>
      <c r="D8" s="47" t="inlineStr">
        <is>
          <t>Update to "MsrLobConcurrencyRates" Table</t>
        </is>
      </c>
      <c r="E8" s="47" t="inlineStr">
        <is>
          <t>Please do a full replacement of the existing table. There was an update to the values for a Medicaid state and we need those reflected in SpotCheck for claim accuracy. This is a one off from the normal cadence schedule.</t>
        </is>
      </c>
      <c r="F8" s="47"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G8" s="47" t="inlineStr"/>
      <c r="H8" s="46" t="inlineStr">
        <is>
          <t>Other</t>
        </is>
      </c>
      <c r="I8" s="46" t="inlineStr">
        <is>
          <t>Other</t>
        </is>
      </c>
      <c r="J8" s="46" t="inlineStr"/>
      <c r="K8" s="46" t="inlineStr">
        <is>
          <t>In Progress (HD1)</t>
        </is>
      </c>
      <c r="L8" s="46" t="inlineStr">
        <is>
          <t>2026-04-29</t>
        </is>
      </c>
      <c r="M8" s="46" t="inlineStr">
        <is>
          <t>2026-05-06</t>
        </is>
      </c>
      <c r="N8" s="46" t="inlineStr">
        <is>
          <t>Nile Production Support</t>
        </is>
      </c>
      <c r="O8" s="46" t="inlineStr">
        <is>
          <t>Unassigned</t>
        </is>
      </c>
      <c r="P8" s="46" t="inlineStr">
        <is>
          <t>Knochel, Tanya</t>
        </is>
      </c>
      <c r="Q8" s="46" t="inlineStr">
        <is>
          <t>Unresolved</t>
        </is>
      </c>
      <c r="R8" s="47"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S8" s="46" t="inlineStr"/>
      <c r="T8" s="46" t="inlineStr"/>
      <c r="U8" s="46" t="inlineStr"/>
      <c r="V8" s="52" t="inlineStr">
        <is>
          <t>Pipeline Schedule</t>
        </is>
      </c>
      <c r="W8" s="46" t="inlineStr"/>
    </row>
    <row r="9">
      <c r="A9" s="43" t="inlineStr">
        <is>
          <t>IT-3021950</t>
        </is>
      </c>
      <c r="B9" s="43" t="inlineStr">
        <is>
          <t>IT-3021950</t>
        </is>
      </c>
      <c r="C9" s="43" t="inlineStr"/>
      <c r="D9" s="44" t="inlineStr">
        <is>
          <t>bcbsnjhorizon_facets_no_touch failed due to file path does not exist.</t>
        </is>
      </c>
      <c r="E9" s="44" t="inlineStr">
        <is>
          <t>Pipeline: bcbsnjhorizon_facets_no_touch Got failed in Preprocessor [data-preprocessor] stage due to file path does not exist, since the files is already available in spooler location. Please do check on the file path location for the file.</t>
        </is>
      </c>
      <c r="F9" s="44" t="inlineStr">
        <is>
          <t>Hi Raya, Birajan file processed Thanks Satish Devatha</t>
        </is>
      </c>
      <c r="G9" s="44" t="inlineStr">
        <is>
          <t>file processed</t>
        </is>
      </c>
      <c r="H9" s="43" t="inlineStr">
        <is>
          <t>Other</t>
        </is>
      </c>
      <c r="I9" s="43" t="inlineStr">
        <is>
          <t>Other</t>
        </is>
      </c>
      <c r="J9" s="43" t="inlineStr"/>
      <c r="K9" s="43" t="inlineStr">
        <is>
          <t>Closed</t>
        </is>
      </c>
      <c r="L9" s="43" t="inlineStr">
        <is>
          <t>2026-04-29</t>
        </is>
      </c>
      <c r="M9" s="43" t="inlineStr">
        <is>
          <t>2026-04-29</t>
        </is>
      </c>
      <c r="N9" s="43" t="inlineStr">
        <is>
          <t>Nile Production Support</t>
        </is>
      </c>
      <c r="O9" s="43" t="inlineStr">
        <is>
          <t>Unassigned</t>
        </is>
      </c>
      <c r="P9" s="43" t="inlineStr">
        <is>
          <t>Raya, Birajan</t>
        </is>
      </c>
      <c r="Q9" s="43" t="inlineStr">
        <is>
          <t>Resolved</t>
        </is>
      </c>
      <c r="R9" s="44" t="inlineStr">
        <is>
          <t>Hi Raya, Birajan file processed Thanks Satish Devatha</t>
        </is>
      </c>
      <c r="S9" s="43" t="inlineStr"/>
      <c r="T9" s="43" t="inlineStr"/>
      <c r="U9" s="43" t="inlineStr"/>
      <c r="V9" s="53" t="inlineStr">
        <is>
          <t>File Issue</t>
        </is>
      </c>
      <c r="W9" s="43" t="inlineStr"/>
    </row>
    <row r="10">
      <c r="A10" s="46" t="inlineStr">
        <is>
          <t>IT-3021831</t>
        </is>
      </c>
      <c r="B10" s="46" t="inlineStr">
        <is>
          <t>IT-3021831</t>
        </is>
      </c>
      <c r="C10" s="46" t="inlineStr"/>
      <c r="D10" s="47" t="inlineStr">
        <is>
          <t>CLONE - Peer Review for Aetna-Trad-SCM BMC pipeline Optimization</t>
        </is>
      </c>
      <c r="E10" s="47"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10" s="47" t="inlineStr"/>
      <c r="G10" s="47" t="inlineStr">
        <is>
          <t>Since it's a direct bmc pipeline it doesn't require any changes.</t>
        </is>
      </c>
      <c r="H10" s="46" t="inlineStr">
        <is>
          <t>Other</t>
        </is>
      </c>
      <c r="I10" s="46" t="inlineStr">
        <is>
          <t>Other</t>
        </is>
      </c>
      <c r="J10" s="46" t="inlineStr"/>
      <c r="K10" s="46" t="inlineStr">
        <is>
          <t>Closed</t>
        </is>
      </c>
      <c r="L10" s="46" t="inlineStr">
        <is>
          <t>2026-04-29</t>
        </is>
      </c>
      <c r="M10" s="46" t="inlineStr">
        <is>
          <t>2026-04-30</t>
        </is>
      </c>
      <c r="N10" s="46" t="inlineStr">
        <is>
          <t>Nile Production Support</t>
        </is>
      </c>
      <c r="O10" s="46" t="inlineStr">
        <is>
          <t>Unassigned</t>
        </is>
      </c>
      <c r="P10" s="46" t="inlineStr">
        <is>
          <t>Kamsetty, Sravani</t>
        </is>
      </c>
      <c r="Q10" s="46" t="inlineStr">
        <is>
          <t>Done</t>
        </is>
      </c>
      <c r="R10" s="47" t="inlineStr"/>
      <c r="S10" s="46" t="inlineStr"/>
      <c r="T10" s="46" t="inlineStr"/>
      <c r="U10" s="46" t="inlineStr"/>
      <c r="V10" s="54" t="inlineStr">
        <is>
          <t>Configuration Issue</t>
        </is>
      </c>
      <c r="W10" s="46" t="inlineStr"/>
    </row>
    <row r="11">
      <c r="A11" s="43" t="inlineStr">
        <is>
          <t>IT-3021830</t>
        </is>
      </c>
      <c r="B11" s="43" t="inlineStr">
        <is>
          <t>IT-3021830</t>
        </is>
      </c>
      <c r="C11" s="43" t="inlineStr"/>
      <c r="D11" s="44" t="inlineStr">
        <is>
          <t>[BCBS_MI]-Update prechecks for BMC and publish all the child pipelines.</t>
        </is>
      </c>
      <c r="E11" s="44" t="inlineStr">
        <is>
          <t>Update precheck with pipeline version as latest and remove all the unnecessary parameters from the pipeline. Publish all the child pipelines and modify subscribe BMC pipeline versions to latest.</t>
        </is>
      </c>
      <c r="F11" s="44" t="inlineStr">
        <is>
          <t>BMC Pipeline prechecks conditions for pipeline version is updated to latest. Published and scheduled the latest BMC version pipeline. FYI: trigger_bmc_workflow-bcbs_mi_bcbs_mi_monthly Version: V1.6</t>
        </is>
      </c>
      <c r="G11" s="44" t="inlineStr">
        <is>
          <t>BMC Pipeline prechecks conditions for pipeline version is updated to latest. Published and scheduled the latest BMC version pipeline. FYI: trigger_bmc_workflow-bcbs_mi_bcbs_mi_monthly Version: V1.6</t>
        </is>
      </c>
      <c r="H11" s="43" t="inlineStr">
        <is>
          <t>Other</t>
        </is>
      </c>
      <c r="I11" s="43" t="inlineStr">
        <is>
          <t>Other</t>
        </is>
      </c>
      <c r="J11" s="43" t="inlineStr"/>
      <c r="K11" s="43" t="inlineStr">
        <is>
          <t>Closed</t>
        </is>
      </c>
      <c r="L11" s="43" t="inlineStr">
        <is>
          <t>2026-04-29</t>
        </is>
      </c>
      <c r="M11" s="43" t="inlineStr">
        <is>
          <t>2026-05-01</t>
        </is>
      </c>
      <c r="N11" s="43" t="inlineStr">
        <is>
          <t>Nile Production Support</t>
        </is>
      </c>
      <c r="O11" s="43" t="inlineStr">
        <is>
          <t>Unassigned</t>
        </is>
      </c>
      <c r="P11" s="43" t="inlineStr">
        <is>
          <t>Kamsetty, Sravani</t>
        </is>
      </c>
      <c r="Q11" s="43" t="inlineStr">
        <is>
          <t>Resolved</t>
        </is>
      </c>
      <c r="R11" s="44" t="inlineStr">
        <is>
          <t>BMC Pipeline prechecks conditions for pipeline version is updated to latest. Published and scheduled the latest BMC version pipeline. FYI: trigger_bmc_workflow-bcbs_mi_bcbs_mi_monthly Version: V1.6</t>
        </is>
      </c>
      <c r="S11" s="43" t="inlineStr"/>
      <c r="T11" s="43" t="inlineStr"/>
      <c r="U11" s="43" t="inlineStr"/>
      <c r="V11" s="49" t="inlineStr">
        <is>
          <t>Configuration Issue</t>
        </is>
      </c>
      <c r="W11" s="43" t="inlineStr"/>
    </row>
    <row r="12">
      <c r="A12" s="46" t="inlineStr">
        <is>
          <t>IT-3021086</t>
        </is>
      </c>
      <c r="B12" s="46" t="inlineStr">
        <is>
          <t>IT-3021086</t>
        </is>
      </c>
      <c r="C12" s="46" t="inlineStr"/>
      <c r="D12" s="47" t="inlineStr">
        <is>
          <t>Unmatched cosmosfaclcontractcategory raw data count - 20260428_1 - prod - dm-uhc-cosmos-actian_migration_cosmosfaclcontractcategory</t>
        </is>
      </c>
      <c r="E12" s="47" t="inlineStr">
        <is>
          <t>File name(s) COSMOS_FACL_CONTRACT_CATEGORY_OUT_HIST_APR26.txt Rejected records Impala table prod_niledataingestion_unrestricted.uhc_cosmos_raw_cosmosfaclcontractcategory_rejected_records_20260428_1 File data line count 201469543 Total raw data line count 201469543 Ingested row count 0</t>
        </is>
      </c>
      <c r="F12" s="47"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G12" s="47" t="inlineStr">
        <is>
          <t>File processed successfully.</t>
        </is>
      </c>
      <c r="H12" s="46" t="inlineStr">
        <is>
          <t>Other</t>
        </is>
      </c>
      <c r="I12" s="46" t="inlineStr">
        <is>
          <t>Other</t>
        </is>
      </c>
      <c r="J12" s="46" t="inlineStr"/>
      <c r="K12" s="46" t="inlineStr">
        <is>
          <t>Closed</t>
        </is>
      </c>
      <c r="L12" s="46" t="inlineStr">
        <is>
          <t>2026-04-29</t>
        </is>
      </c>
      <c r="M12" s="46" t="inlineStr">
        <is>
          <t>2026-05-05</t>
        </is>
      </c>
      <c r="N12" s="46" t="inlineStr">
        <is>
          <t>Nile Production Support</t>
        </is>
      </c>
      <c r="O12" s="46" t="inlineStr">
        <is>
          <t>Unassigned</t>
        </is>
      </c>
      <c r="P12" s="46" t="inlineStr">
        <is>
          <t>Raya, Birajan</t>
        </is>
      </c>
      <c r="Q12" s="46" t="inlineStr">
        <is>
          <t>Resolved</t>
        </is>
      </c>
      <c r="R12" s="47"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S12" s="46" t="inlineStr"/>
      <c r="T12" s="46" t="inlineStr"/>
      <c r="U12" s="46" t="inlineStr"/>
      <c r="V12" s="55" t="inlineStr">
        <is>
          <t>Data Issue</t>
        </is>
      </c>
      <c r="W12" s="46" t="inlineStr"/>
    </row>
    <row r="13">
      <c r="A13" s="43" t="inlineStr">
        <is>
          <t>IT-3020658</t>
        </is>
      </c>
      <c r="B13" s="43" t="inlineStr">
        <is>
          <t>IT-3020658</t>
        </is>
      </c>
      <c r="C13" s="43" t="inlineStr"/>
      <c r="D13" s="44" t="inlineStr">
        <is>
          <t>NAS Spoolers failed and pipeline not completed,Hue browser not working in production environment.</t>
        </is>
      </c>
      <c r="E13" s="44" t="inlineStr">
        <is>
          <t>Today, we experienced a Hadoop issue where spoolers failed, pipelines got stuck, and the Hue browser became inaccessible.</t>
        </is>
      </c>
      <c r="F13" s="44"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G13" s="44" t="inlineStr">
        <is>
          <t>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H13" s="43" t="inlineStr">
        <is>
          <t>Other</t>
        </is>
      </c>
      <c r="I13" s="43" t="inlineStr">
        <is>
          <t>Other</t>
        </is>
      </c>
      <c r="J13" s="43" t="inlineStr"/>
      <c r="K13" s="43" t="inlineStr">
        <is>
          <t>Closed</t>
        </is>
      </c>
      <c r="L13" s="43" t="inlineStr">
        <is>
          <t>2026-04-29</t>
        </is>
      </c>
      <c r="M13" s="43" t="inlineStr">
        <is>
          <t>2026-04-29</t>
        </is>
      </c>
      <c r="N13" s="43" t="inlineStr">
        <is>
          <t>Nile Production Support</t>
        </is>
      </c>
      <c r="O13" s="43" t="inlineStr">
        <is>
          <t>Unassigned</t>
        </is>
      </c>
      <c r="P13" s="43" t="inlineStr">
        <is>
          <t>Kantimahanti, Ravisankar</t>
        </is>
      </c>
      <c r="Q13" s="43" t="inlineStr">
        <is>
          <t>Resolved</t>
        </is>
      </c>
      <c r="R13" s="44"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S13" s="43" t="inlineStr"/>
      <c r="T13" s="43" t="inlineStr"/>
      <c r="U13" s="43" t="inlineStr"/>
      <c r="V13" s="56" t="inlineStr">
        <is>
          <t>Spooler issue</t>
        </is>
      </c>
      <c r="W13" s="43" t="inlineStr"/>
    </row>
    <row r="14">
      <c r="A14" s="46" t="inlineStr">
        <is>
          <t>IT-3020610</t>
        </is>
      </c>
      <c r="B14" s="46" t="inlineStr">
        <is>
          <t>IT-3020610</t>
        </is>
      </c>
      <c r="C14" s="46" t="inlineStr"/>
      <c r="D14" s="47" t="inlineStr">
        <is>
          <t>Update the tracker with the newly deployed History Lean Ingestion pipelines for DevotedHealth that are now live in production.</t>
        </is>
      </c>
      <c r="E14" s="47"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F14" s="47" t="inlineStr"/>
      <c r="G14" s="47" t="inlineStr">
        <is>
          <t>Details recorded accordingly.</t>
        </is>
      </c>
      <c r="H14" s="46" t="inlineStr">
        <is>
          <t>Other</t>
        </is>
      </c>
      <c r="I14" s="46" t="inlineStr">
        <is>
          <t>Other</t>
        </is>
      </c>
      <c r="J14" s="46" t="inlineStr"/>
      <c r="K14" s="46" t="inlineStr">
        <is>
          <t>Closed</t>
        </is>
      </c>
      <c r="L14" s="46" t="inlineStr">
        <is>
          <t>2026-04-29</t>
        </is>
      </c>
      <c r="M14" s="46" t="inlineStr">
        <is>
          <t>2026-05-06</t>
        </is>
      </c>
      <c r="N14" s="46" t="inlineStr">
        <is>
          <t>Nile Production Support</t>
        </is>
      </c>
      <c r="O14" s="46" t="inlineStr">
        <is>
          <t>Unassigned</t>
        </is>
      </c>
      <c r="P14" s="46" t="inlineStr">
        <is>
          <t>Karakavalasa, SriVarshini</t>
        </is>
      </c>
      <c r="Q14" s="46" t="inlineStr">
        <is>
          <t>Resolved</t>
        </is>
      </c>
      <c r="R14" s="47" t="inlineStr"/>
      <c r="S14" s="46" t="inlineStr"/>
      <c r="T14" s="46" t="inlineStr"/>
      <c r="U14" s="46" t="inlineStr"/>
      <c r="V14" s="57" t="inlineStr">
        <is>
          <t>Other</t>
        </is>
      </c>
      <c r="W14" s="46" t="inlineStr">
        <is>
          <t>Yes</t>
        </is>
      </c>
    </row>
    <row r="15">
      <c r="A15" s="43" t="inlineStr">
        <is>
          <t>IT-3020001</t>
        </is>
      </c>
      <c r="B15" s="43" t="inlineStr">
        <is>
          <t>IT-3020001</t>
        </is>
      </c>
      <c r="C15" s="43" t="inlineStr"/>
      <c r="D15" s="44" t="inlineStr">
        <is>
          <t>CIGMC Prof. History File Failure 4/25/2026</t>
        </is>
      </c>
      <c r="E15" s="44" t="inlineStr">
        <is>
          <t>Hi Nile team, The below file has failed for being out of sequence because it is using a seq# that was previously processed on 02/11/2026. Can you please have the client correct this and resend for processing? Failure: { } CIGMC|H| 0027710 |20260208|1|R TRAILER|1|20260208|160050 cigmc_history_incoming_113147 (1) Total Lines Processed for Run : 1 File Processing Information: ---------------------------------------------------------------------------------------------------- File : cigmc_history_incoming_113147.04-25-2026_1255 QA Status : FAILED Reason : FAILED- out-of-sequence Previously processed File: { } CIGMC|H| 0027710 |20260211|142|R TRAILER|142|20260211|160050 cigmc_ophistory_incoming_125706 (142) Total Lines Processed for Run : 142 File Processing Information: ---------------------------------------------------------------------------------------------------- File : cigmc_ophistory_incoming_125706.02-11-2026_1311 QA Status : PASSED File Run Completed : 02-11-2026_1311</t>
        </is>
      </c>
      <c r="F15" s="44"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G15" s="44" t="inlineStr">
        <is>
          <t>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H15" s="43" t="inlineStr">
        <is>
          <t>Other</t>
        </is>
      </c>
      <c r="I15" s="43" t="inlineStr">
        <is>
          <t>Other</t>
        </is>
      </c>
      <c r="J15" s="43" t="inlineStr"/>
      <c r="K15" s="43" t="inlineStr">
        <is>
          <t>Closed</t>
        </is>
      </c>
      <c r="L15" s="43" t="inlineStr">
        <is>
          <t>2026-04-28</t>
        </is>
      </c>
      <c r="M15" s="43" t="inlineStr">
        <is>
          <t>2026-05-05</t>
        </is>
      </c>
      <c r="N15" s="43" t="inlineStr">
        <is>
          <t>Nile Production Support</t>
        </is>
      </c>
      <c r="O15" s="43" t="inlineStr">
        <is>
          <t>Unassigned</t>
        </is>
      </c>
      <c r="P15" s="43" t="inlineStr">
        <is>
          <t>Daniels, Ben</t>
        </is>
      </c>
      <c r="Q15" s="43" t="inlineStr">
        <is>
          <t>Resolved</t>
        </is>
      </c>
      <c r="R15" s="44"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S15" s="43" t="inlineStr"/>
      <c r="T15" s="43" t="inlineStr"/>
      <c r="U15" s="43" t="inlineStr"/>
      <c r="V15" s="53" t="inlineStr">
        <is>
          <t>File Issue</t>
        </is>
      </c>
      <c r="W15" s="43" t="inlineStr"/>
    </row>
    <row r="16">
      <c r="A16" s="46" t="inlineStr">
        <is>
          <t>IT-3019955</t>
        </is>
      </c>
      <c r="B16" s="46" t="inlineStr">
        <is>
          <t>IT-3019955</t>
        </is>
      </c>
      <c r="C16" s="46" t="inlineStr"/>
      <c r="D16" s="47" t="inlineStr">
        <is>
          <t>TXCHP Institutional/TBA Files Failing 4/28/2026</t>
        </is>
      </c>
      <c r="E16" s="47" t="inlineStr">
        <is>
          <t>We are experiencing a situation similar to IT-3004600 - TXCHP Institutional/TBA &amp; History Files Failing 4/21/2026 TXCHP is continuing to fail. We have confirmed the files have been previously run in 2025. See the failed file list below. Can you please confirm if the client intentionally sent these files? Ticket: txchp_daily_incoming_1.04-28-2026_1700 txchp_daily_incoming_1.04-28-2026_1740 txchp_daily_incoming_1.04-28-2026_1815 txchp_outpatient_incoming_1.04-28-2026_1830 txchp_daily_incoming_1.04-28-2026_1855 txchp_outpatient_incoming_1.04-28-2026_1910 txchp_daily_incoming_1.04-28-2026_1934 txchp_outpatient_incoming_1.04-28-2026_1950 txchp_daily_incoming_1.04-28-2026_2023 txchp_outpatient_incoming_1.04-28-2026_2035 txchp_outpatient_incoming_1.04-28-2026_2120 txchp_daily_incoming_1.04-28-2026_2130 txchp_outpatient_incoming_1.04-28-2026_2210 txchp_daily_incoming_1.04-28-2026_2210</t>
        </is>
      </c>
      <c r="F16" s="47" t="inlineStr">
        <is>
          <t>Melly's email (question): RE: IT-3019955 TXCHP Institutional/TBA Files Failing 4/28/2026 Need to understand what the source files are.. RE: IT-3019955 TXCHP Institutional/TBA Files Failing 4/28/2026</t>
        </is>
      </c>
      <c r="G16" s="47" t="inlineStr"/>
      <c r="H16" s="46" t="inlineStr">
        <is>
          <t>Other</t>
        </is>
      </c>
      <c r="I16" s="46" t="inlineStr">
        <is>
          <t>Other</t>
        </is>
      </c>
      <c r="J16" s="46" t="inlineStr"/>
      <c r="K16" s="46" t="inlineStr">
        <is>
          <t>On Hold</t>
        </is>
      </c>
      <c r="L16" s="46" t="inlineStr">
        <is>
          <t>2026-04-28</t>
        </is>
      </c>
      <c r="M16" s="46" t="inlineStr">
        <is>
          <t>2026-05-05</t>
        </is>
      </c>
      <c r="N16" s="46" t="inlineStr">
        <is>
          <t>Nile Production Support</t>
        </is>
      </c>
      <c r="O16" s="46" t="inlineStr">
        <is>
          <t>Unassigned</t>
        </is>
      </c>
      <c r="P16" s="46" t="inlineStr">
        <is>
          <t>Edwards, Andrea</t>
        </is>
      </c>
      <c r="Q16" s="46" t="inlineStr">
        <is>
          <t>Unresolved</t>
        </is>
      </c>
      <c r="R16" s="47" t="inlineStr">
        <is>
          <t>Melly's email (question): RE: IT-3019955 TXCHP Institutional/TBA Files Failing 4/28/2026 Need to understand what the source files are.. RE: IT-3019955 TXCHP Institutional/TBA Files Failing 4/28/2026</t>
        </is>
      </c>
      <c r="S16" s="46" t="inlineStr"/>
      <c r="T16" s="46" t="inlineStr"/>
      <c r="U16" s="46" t="inlineStr"/>
      <c r="V16" s="50" t="inlineStr">
        <is>
          <t>File Issue</t>
        </is>
      </c>
      <c r="W16" s="46" t="inlineStr"/>
    </row>
    <row r="17">
      <c r="A17" s="43" t="inlineStr">
        <is>
          <t>IT-3019608</t>
        </is>
      </c>
      <c r="B17" s="43" t="inlineStr">
        <is>
          <t>IT-3019608</t>
        </is>
      </c>
      <c r="C17" s="43" t="inlineStr"/>
      <c r="D17" s="44" t="inlineStr">
        <is>
          <t>Pipeline: dm-amerihealth-results-actian_migration_claims_detail | Data Date: 2026/04/28 | Failure</t>
        </is>
      </c>
      <c r="E17" s="44"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F17" s="44" t="inlineStr">
        <is>
          <t>Hi Enid Ike pipeline completed Thanks Satish Devatha</t>
        </is>
      </c>
      <c r="G17" s="44" t="inlineStr">
        <is>
          <t>pipeline completed</t>
        </is>
      </c>
      <c r="H17" s="43" t="inlineStr">
        <is>
          <t>Other</t>
        </is>
      </c>
      <c r="I17" s="43" t="inlineStr">
        <is>
          <t>Other</t>
        </is>
      </c>
      <c r="J17" s="43" t="inlineStr"/>
      <c r="K17" s="43" t="inlineStr">
        <is>
          <t>Closed</t>
        </is>
      </c>
      <c r="L17" s="43" t="inlineStr">
        <is>
          <t>2026-04-28</t>
        </is>
      </c>
      <c r="M17" s="43" t="inlineStr">
        <is>
          <t>2026-04-28</t>
        </is>
      </c>
      <c r="N17" s="43" t="inlineStr">
        <is>
          <t>Nile Production Support</t>
        </is>
      </c>
      <c r="O17" s="43" t="inlineStr">
        <is>
          <t>Unassigned</t>
        </is>
      </c>
      <c r="P17" s="43" t="inlineStr">
        <is>
          <t>Enid Ike</t>
        </is>
      </c>
      <c r="Q17" s="43" t="inlineStr">
        <is>
          <t>Resolved</t>
        </is>
      </c>
      <c r="R17" s="44" t="inlineStr">
        <is>
          <t>Hi Enid Ike pipeline completed Thanks Satish Devatha</t>
        </is>
      </c>
      <c r="S17" s="43" t="inlineStr"/>
      <c r="T17" s="43" t="inlineStr"/>
      <c r="U17" s="43" t="inlineStr"/>
      <c r="V17" s="58" t="inlineStr">
        <is>
          <t>Other</t>
        </is>
      </c>
      <c r="W17" s="43" t="inlineStr">
        <is>
          <t>Yes</t>
        </is>
      </c>
    </row>
    <row r="18">
      <c r="A18" s="46" t="inlineStr">
        <is>
          <t>IT-3019286</t>
        </is>
      </c>
      <c r="B18" s="46" t="inlineStr">
        <is>
          <t>IT-3019286</t>
        </is>
      </c>
      <c r="C18" s="46" t="inlineStr"/>
      <c r="D18" s="47" t="inlineStr">
        <is>
          <t>BCNAM GWF Flag</t>
        </is>
      </c>
      <c r="E18" s="47" t="inlineStr">
        <is>
          <t>Hello, Currently, BCNAM is fully GWF eligible and everything on our end is configured this way. However, we are still seeing claims come through as not GWF eligible. We were wondering if this field is hardcoded at the GDF/CDF level. Can you please provide how these fields are currently mapped? GDF: CH_US_ONLY_INDICATOR CDF: US_ONLY_YN</t>
        </is>
      </c>
      <c r="F18" s="47"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G18" s="47" t="inlineStr"/>
      <c r="H18" s="46" t="inlineStr">
        <is>
          <t>Other</t>
        </is>
      </c>
      <c r="I18" s="46" t="inlineStr">
        <is>
          <t>Other</t>
        </is>
      </c>
      <c r="J18" s="46" t="inlineStr"/>
      <c r="K18" s="46" t="inlineStr">
        <is>
          <t>On Hold</t>
        </is>
      </c>
      <c r="L18" s="46" t="inlineStr">
        <is>
          <t>2026-04-28</t>
        </is>
      </c>
      <c r="M18" s="46" t="inlineStr">
        <is>
          <t>2026-05-05</t>
        </is>
      </c>
      <c r="N18" s="46" t="inlineStr">
        <is>
          <t>Nile Production Support</t>
        </is>
      </c>
      <c r="O18" s="46" t="inlineStr">
        <is>
          <t>Unassigned</t>
        </is>
      </c>
      <c r="P18" s="46" t="inlineStr">
        <is>
          <t>Giri, Kushal</t>
        </is>
      </c>
      <c r="Q18" s="46" t="inlineStr">
        <is>
          <t>Unresolved</t>
        </is>
      </c>
      <c r="R18" s="47"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S18" s="46" t="inlineStr"/>
      <c r="T18" s="46" t="inlineStr"/>
      <c r="U18" s="46" t="inlineStr"/>
      <c r="V18" s="54" t="inlineStr">
        <is>
          <t>Configuration Issue</t>
        </is>
      </c>
      <c r="W18" s="46" t="inlineStr"/>
    </row>
    <row r="19">
      <c r="A19" s="43" t="inlineStr">
        <is>
          <t>IT-3018431</t>
        </is>
      </c>
      <c r="B19" s="43" t="inlineStr">
        <is>
          <t>IT-3018431</t>
        </is>
      </c>
      <c r="C19" s="43" t="inlineStr"/>
      <c r="D19" s="44" t="inlineStr">
        <is>
          <t>Update to Molina post pay claim extract file</t>
        </is>
      </c>
      <c r="E19" s="44" t="inlineStr">
        <is>
          <t>Per the attached email from Molina, an update is being made to Molina’s post pay claim extract file, go live 5/28/2026. Email body from original Molina notification: Our IT will be making a change to the post-pay CLAIMS Extract. Go Live – 5/28/2026 Change: Addition of field at the end of the file New field: Provider_Adjust_Amount – This field now contains the Medicare Sequestration amount on a claim line (net_amt field is unchanged, but now the sequestration amt is explicitly listed in this field) Trey Simpson – AVP, Payment Integrity – Molina Healthcare, Inc.</t>
        </is>
      </c>
      <c r="F19" s="44" t="inlineStr">
        <is>
          <t>RE_ Update to Claims Extract.msg (135 kB) Hi Madel, William Does the change apply to all claims? Does the field need to be immediately displayed or is it to be displayed starting on the go-live date? cc Devatha, Satish</t>
        </is>
      </c>
      <c r="G19" s="44" t="inlineStr"/>
      <c r="H19" s="43" t="inlineStr">
        <is>
          <t>Other</t>
        </is>
      </c>
      <c r="I19" s="43" t="inlineStr">
        <is>
          <t>Other</t>
        </is>
      </c>
      <c r="J19" s="43" t="inlineStr"/>
      <c r="K19" s="43" t="inlineStr">
        <is>
          <t>Open</t>
        </is>
      </c>
      <c r="L19" s="43" t="inlineStr">
        <is>
          <t>2026-04-28</t>
        </is>
      </c>
      <c r="M19" s="43" t="inlineStr">
        <is>
          <t>2026-04-29</t>
        </is>
      </c>
      <c r="N19" s="43" t="inlineStr">
        <is>
          <t>Nile Production Support</t>
        </is>
      </c>
      <c r="O19" s="43" t="inlineStr">
        <is>
          <t>Unassigned</t>
        </is>
      </c>
      <c r="P19" s="43" t="inlineStr">
        <is>
          <t>Madel, William</t>
        </is>
      </c>
      <c r="Q19" s="43" t="inlineStr">
        <is>
          <t>Unresolved</t>
        </is>
      </c>
      <c r="R19" s="44" t="inlineStr">
        <is>
          <t>RE_ Update to Claims Extract.msg (135 kB) Hi Madel, William Does the change apply to all claims? Does the field need to be immediately displayed or is it to be displayed starting on the go-live date? cc Devatha, Satish</t>
        </is>
      </c>
      <c r="S19" s="43" t="inlineStr"/>
      <c r="T19" s="43" t="inlineStr"/>
      <c r="U19" s="43" t="inlineStr"/>
      <c r="V19" s="53" t="inlineStr">
        <is>
          <t>File Issue</t>
        </is>
      </c>
      <c r="W19" s="43" t="inlineStr"/>
    </row>
    <row r="20">
      <c r="A20" s="46" t="inlineStr">
        <is>
          <t>IT-3018019</t>
        </is>
      </c>
      <c r="B20" s="46" t="inlineStr">
        <is>
          <t>IT-3018019</t>
        </is>
      </c>
      <c r="C20" s="46" t="inlineStr"/>
      <c r="D20" s="47" t="inlineStr">
        <is>
          <t>Optumcare RCCV Professional Prod Transition Documents</t>
        </is>
      </c>
      <c r="E20" s="47"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F20" s="47" t="inlineStr"/>
      <c r="G20" s="47" t="inlineStr">
        <is>
          <t>Documents reviewed, Details reviewed and recorded and transition scheduled for today.</t>
        </is>
      </c>
      <c r="H20" s="46" t="inlineStr">
        <is>
          <t>Other</t>
        </is>
      </c>
      <c r="I20" s="46" t="inlineStr">
        <is>
          <t>Other</t>
        </is>
      </c>
      <c r="J20" s="46" t="inlineStr"/>
      <c r="K20" s="46" t="inlineStr">
        <is>
          <t>Closed</t>
        </is>
      </c>
      <c r="L20" s="46" t="inlineStr">
        <is>
          <t>2026-04-28</t>
        </is>
      </c>
      <c r="M20" s="46" t="inlineStr">
        <is>
          <t>2026-05-05</t>
        </is>
      </c>
      <c r="N20" s="46" t="inlineStr">
        <is>
          <t>Nile Production Support</t>
        </is>
      </c>
      <c r="O20" s="46" t="inlineStr">
        <is>
          <t>Unassigned</t>
        </is>
      </c>
      <c r="P20" s="46" t="inlineStr">
        <is>
          <t>Shaik, Parveena</t>
        </is>
      </c>
      <c r="Q20" s="46" t="inlineStr">
        <is>
          <t>Resolved</t>
        </is>
      </c>
      <c r="R20" s="47" t="inlineStr"/>
      <c r="S20" s="46" t="inlineStr"/>
      <c r="T20" s="46" t="inlineStr"/>
      <c r="U20" s="46" t="inlineStr"/>
      <c r="V20" s="57" t="inlineStr">
        <is>
          <t>Other</t>
        </is>
      </c>
      <c r="W20" s="46" t="inlineStr">
        <is>
          <t>Yes</t>
        </is>
      </c>
    </row>
    <row r="21">
      <c r="A21" s="43" t="inlineStr">
        <is>
          <t>IT-3017779</t>
        </is>
      </c>
      <c r="B21" s="43" t="inlineStr">
        <is>
          <t>IT-3017779</t>
        </is>
      </c>
      <c r="C21" s="43" t="inlineStr"/>
      <c r="D21" s="44" t="inlineStr">
        <is>
          <t>Wellmark 3ppmo file Investigation</t>
        </is>
      </c>
      <c r="E21" s="44" t="inlineStr">
        <is>
          <t>The client informed that 3PPMO response file was not received. Upon Initial investigation, we found that #PPMO file was not received. Need further investigation on this.</t>
        </is>
      </c>
      <c r="F21" s="44"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G21" s="44" t="inlineStr">
        <is>
          <t>Files received and processed successfully.</t>
        </is>
      </c>
      <c r="H21" s="43" t="inlineStr">
        <is>
          <t>Other</t>
        </is>
      </c>
      <c r="I21" s="43" t="inlineStr">
        <is>
          <t>Other</t>
        </is>
      </c>
      <c r="J21" s="43" t="inlineStr"/>
      <c r="K21" s="43" t="inlineStr">
        <is>
          <t>Closed</t>
        </is>
      </c>
      <c r="L21" s="43" t="inlineStr">
        <is>
          <t>2026-04-28</t>
        </is>
      </c>
      <c r="M21" s="43" t="inlineStr">
        <is>
          <t>2026-05-04</t>
        </is>
      </c>
      <c r="N21" s="43" t="inlineStr">
        <is>
          <t>Nile Production Support</t>
        </is>
      </c>
      <c r="O21" s="43" t="inlineStr">
        <is>
          <t>Unassigned</t>
        </is>
      </c>
      <c r="P21" s="43" t="inlineStr">
        <is>
          <t>Bhattarai, Krishna</t>
        </is>
      </c>
      <c r="Q21" s="43" t="inlineStr">
        <is>
          <t>Resolved</t>
        </is>
      </c>
      <c r="R21" s="44"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S21" s="43" t="inlineStr"/>
      <c r="T21" s="43" t="inlineStr"/>
      <c r="U21" s="43" t="inlineStr"/>
      <c r="V21" s="59" t="inlineStr">
        <is>
          <t>Issue Platform</t>
        </is>
      </c>
      <c r="W21" s="43" t="inlineStr"/>
    </row>
    <row r="22">
      <c r="A22" s="46" t="inlineStr">
        <is>
          <t>IT-3017677</t>
        </is>
      </c>
      <c r="B22" s="46" t="inlineStr">
        <is>
          <t>IT-3017677</t>
        </is>
      </c>
      <c r="C22" s="46" t="inlineStr"/>
      <c r="D22" s="47" t="inlineStr">
        <is>
          <t>dm-aetna-hrp-actian_migration_caqh got failed for 04/17</t>
        </is>
      </c>
      <c r="E22" s="47" t="inlineStr">
        <is>
          <t>dm-aetna-hrp-actian_migration_caqh got failed for 04/17. Issue show the error not all mandatory file received but we have the files. It looks like below aetna -traditional pipeline processes the same file as well and it is also getting failed with the similar reason. dm-aetna-traditional-actian_migration_caqh</t>
        </is>
      </c>
      <c r="F22" s="47" t="inlineStr">
        <is>
          <t>Seems source filename is not having any issue. It's restricted client and need to check the unzipped files. Please let US people know so they can resolve. copied, moved files. re-spooled. ran pipeline, failed.</t>
        </is>
      </c>
      <c r="G22" s="47" t="inlineStr"/>
      <c r="H22" s="46" t="inlineStr">
        <is>
          <t>Other</t>
        </is>
      </c>
      <c r="I22" s="46" t="inlineStr">
        <is>
          <t>Other</t>
        </is>
      </c>
      <c r="J22" s="46" t="inlineStr"/>
      <c r="K22" s="46" t="inlineStr">
        <is>
          <t>In Progress (HD1)</t>
        </is>
      </c>
      <c r="L22" s="46" t="inlineStr">
        <is>
          <t>2026-04-28</t>
        </is>
      </c>
      <c r="M22" s="46" t="inlineStr">
        <is>
          <t>2026-04-30</t>
        </is>
      </c>
      <c r="N22" s="46" t="inlineStr">
        <is>
          <t>Nile Production Support</t>
        </is>
      </c>
      <c r="O22" s="46" t="inlineStr">
        <is>
          <t>Unassigned</t>
        </is>
      </c>
      <c r="P22" s="46" t="inlineStr">
        <is>
          <t>Aryal, Neerajan</t>
        </is>
      </c>
      <c r="Q22" s="46" t="inlineStr">
        <is>
          <t>Unresolved</t>
        </is>
      </c>
      <c r="R22" s="47" t="inlineStr">
        <is>
          <t>Seems source filename is not having any issue. It's restricted client and need to check the unzipped files. Please let US people know so they can resolve. copied, moved files. re-spooled. ran pipeline, failed.</t>
        </is>
      </c>
      <c r="S22" s="46" t="inlineStr"/>
      <c r="T22" s="46" t="inlineStr"/>
      <c r="U22" s="46" t="inlineStr"/>
      <c r="V22" s="52" t="inlineStr">
        <is>
          <t>Pipeline Schedule</t>
        </is>
      </c>
      <c r="W22" s="46" t="inlineStr"/>
    </row>
    <row r="23">
      <c r="A23" s="43" t="inlineStr">
        <is>
          <t>IT-3017668</t>
        </is>
      </c>
      <c r="B23" s="43" t="inlineStr">
        <is>
          <t>IT-3017668</t>
        </is>
      </c>
      <c r="C23" s="43" t="inlineStr"/>
      <c r="D23" s="44" t="inlineStr">
        <is>
          <t>UHC PNICE Transition</t>
        </is>
      </c>
      <c r="E23" s="44" t="inlineStr">
        <is>
          <t>UHC PNICE Transition</t>
        </is>
      </c>
      <c r="F23" s="44" t="inlineStr"/>
      <c r="G23" s="44" t="inlineStr">
        <is>
          <t>Details recorded after reviewing the documents.</t>
        </is>
      </c>
      <c r="H23" s="43" t="inlineStr">
        <is>
          <t>Other</t>
        </is>
      </c>
      <c r="I23" s="43" t="inlineStr">
        <is>
          <t>Other</t>
        </is>
      </c>
      <c r="J23" s="43" t="inlineStr"/>
      <c r="K23" s="43" t="inlineStr">
        <is>
          <t>Closed</t>
        </is>
      </c>
      <c r="L23" s="43" t="inlineStr">
        <is>
          <t>2026-04-28</t>
        </is>
      </c>
      <c r="M23" s="43" t="inlineStr">
        <is>
          <t>2026-05-04</t>
        </is>
      </c>
      <c r="N23" s="43" t="inlineStr">
        <is>
          <t>Nile Production Support</t>
        </is>
      </c>
      <c r="O23" s="43" t="inlineStr">
        <is>
          <t>Unassigned</t>
        </is>
      </c>
      <c r="P23" s="43" t="inlineStr">
        <is>
          <t>Bobbiti, Jithendra</t>
        </is>
      </c>
      <c r="Q23" s="43" t="inlineStr">
        <is>
          <t>Resolved</t>
        </is>
      </c>
      <c r="R23" s="44" t="inlineStr"/>
      <c r="S23" s="43" t="inlineStr"/>
      <c r="T23" s="43" t="inlineStr"/>
      <c r="U23" s="43" t="inlineStr"/>
      <c r="V23" s="58" t="inlineStr">
        <is>
          <t>Other</t>
        </is>
      </c>
      <c r="W23" s="43" t="inlineStr">
        <is>
          <t>Yes</t>
        </is>
      </c>
    </row>
    <row r="24">
      <c r="A24" s="46" t="inlineStr">
        <is>
          <t>IT-3017655</t>
        </is>
      </c>
      <c r="B24" s="46" t="inlineStr">
        <is>
          <t>IT-3017655</t>
        </is>
      </c>
      <c r="C24" s="46" t="inlineStr"/>
      <c r="D24" s="47" t="inlineStr">
        <is>
          <t>Production Transition - Tufts-Diamond</t>
        </is>
      </c>
      <c r="E24" s="47" t="inlineStr">
        <is>
          <t>Production Transition - Tufts-Diamond RCCV 2 pipelines Inpatient &amp; Iphistory</t>
        </is>
      </c>
      <c r="F24" s="47" t="inlineStr">
        <is>
          <t>Waiting for the transition. also, the feedback fixes.</t>
        </is>
      </c>
      <c r="G24" s="47" t="inlineStr"/>
      <c r="H24" s="46" t="inlineStr">
        <is>
          <t>Other</t>
        </is>
      </c>
      <c r="I24" s="46" t="inlineStr">
        <is>
          <t>Other</t>
        </is>
      </c>
      <c r="J24" s="46" t="inlineStr"/>
      <c r="K24" s="46" t="inlineStr">
        <is>
          <t>On Hold</t>
        </is>
      </c>
      <c r="L24" s="46" t="inlineStr">
        <is>
          <t>2026-04-28</t>
        </is>
      </c>
      <c r="M24" s="46" t="inlineStr">
        <is>
          <t>2026-05-05</t>
        </is>
      </c>
      <c r="N24" s="46" t="inlineStr">
        <is>
          <t>Nile Production Support</t>
        </is>
      </c>
      <c r="O24" s="46" t="inlineStr">
        <is>
          <t>Unassigned</t>
        </is>
      </c>
      <c r="P24" s="46" t="inlineStr">
        <is>
          <t>Vutukuri, Praveen</t>
        </is>
      </c>
      <c r="Q24" s="46" t="inlineStr">
        <is>
          <t>Unresolved</t>
        </is>
      </c>
      <c r="R24" s="47" t="inlineStr">
        <is>
          <t>Waiting for the transition. also, the feedback fixes.</t>
        </is>
      </c>
      <c r="S24" s="46" t="inlineStr"/>
      <c r="T24" s="46" t="inlineStr"/>
      <c r="U24" s="46" t="inlineStr"/>
      <c r="V24" s="57" t="inlineStr">
        <is>
          <t>Other</t>
        </is>
      </c>
      <c r="W24" s="46" t="inlineStr">
        <is>
          <t>Yes</t>
        </is>
      </c>
    </row>
    <row r="25">
      <c r="A25" s="43" t="inlineStr">
        <is>
          <t>IT-3017640</t>
        </is>
      </c>
      <c r="B25" s="43" t="inlineStr">
        <is>
          <t>IT-3017640</t>
        </is>
      </c>
      <c r="C25" s="43" t="inlineStr"/>
      <c r="D25" s="44" t="inlineStr">
        <is>
          <t>Wellcare Pipelines got failed</t>
        </is>
      </c>
      <c r="E25" s="44" t="inlineStr">
        <is>
          <t>dm-wellcare_wellcare_actian_migration_claim_header_icd10 Pipeline got failed on Fail Stage-raw_data_ingestion_error [fail] Stage. dm-wellcare-wellcare-mem_prov_claims_ingestion — Unmatched Raw Data Count Issue. Email Sub: Unmatched claimsheader_ark raw data count - 20260427_1 - prod - dm-wellcare-wellcare-mem_prov_claims_ingestion</t>
        </is>
      </c>
      <c r="F25" s="44" t="inlineStr">
        <is>
          <t>We have rejected records for wellcare claim header file for 20260427. Checking with EDM team. Pipeline processed successfully.</t>
        </is>
      </c>
      <c r="G25" s="44" t="inlineStr">
        <is>
          <t>Pipeline processed successfully.</t>
        </is>
      </c>
      <c r="H25" s="43" t="inlineStr">
        <is>
          <t>Other</t>
        </is>
      </c>
      <c r="I25" s="43" t="inlineStr">
        <is>
          <t>Other</t>
        </is>
      </c>
      <c r="J25" s="43" t="inlineStr"/>
      <c r="K25" s="43" t="inlineStr">
        <is>
          <t>Closed</t>
        </is>
      </c>
      <c r="L25" s="43" t="inlineStr">
        <is>
          <t>2026-04-28</t>
        </is>
      </c>
      <c r="M25" s="43" t="inlineStr">
        <is>
          <t>2026-04-30</t>
        </is>
      </c>
      <c r="N25" s="43" t="inlineStr">
        <is>
          <t>Nile Production Support</t>
        </is>
      </c>
      <c r="O25" s="43" t="inlineStr">
        <is>
          <t>Unassigned</t>
        </is>
      </c>
      <c r="P25" s="43" t="inlineStr">
        <is>
          <t>Aryal, Neerajan</t>
        </is>
      </c>
      <c r="Q25" s="43" t="inlineStr">
        <is>
          <t>Resolved</t>
        </is>
      </c>
      <c r="R25" s="44" t="inlineStr">
        <is>
          <t>We have rejected records for wellcare claim header file for 20260427. Checking with EDM team. Pipeline processed successfully.</t>
        </is>
      </c>
      <c r="S25" s="43" t="inlineStr"/>
      <c r="T25" s="43" t="inlineStr"/>
      <c r="U25" s="43" t="inlineStr"/>
      <c r="V25" s="60" t="inlineStr">
        <is>
          <t>Unmatched raw data count</t>
        </is>
      </c>
      <c r="W25" s="43" t="inlineStr"/>
    </row>
    <row r="26">
      <c r="A26" s="46" t="inlineStr">
        <is>
          <t>IT-3017571</t>
        </is>
      </c>
      <c r="B26" s="46" t="inlineStr">
        <is>
          <t>IT-3017571</t>
        </is>
      </c>
      <c r="C26" s="46" t="inlineStr"/>
      <c r="D26" s="47" t="inlineStr">
        <is>
          <t>NAS Spoolers failed in production environment.</t>
        </is>
      </c>
      <c r="E26" s="47" t="inlineStr">
        <is>
          <t>we have noticed Nwe have noticed NAS Spoolers failed in production environment. Error: The job failed because our system tried to call another service to get file transfer logs, but that service didn’t respond in time. File spooling failed due to a timeout while calling the external transfer logs API. Error: The job failed because our system tried to call another service to get file transfer logs, but that service didn’t respond in time. File spooling failed due to a timeout while calling the external transfer logs API.</t>
        </is>
      </c>
      <c r="F26" s="47"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G26" s="47" t="inlineStr">
        <is>
          <t>We have delivered the files on time. connected with pc team get the confirmation from the user.</t>
        </is>
      </c>
      <c r="H26" s="46" t="inlineStr">
        <is>
          <t>Other</t>
        </is>
      </c>
      <c r="I26" s="46" t="inlineStr">
        <is>
          <t>Other</t>
        </is>
      </c>
      <c r="J26" s="46" t="inlineStr"/>
      <c r="K26" s="46" t="inlineStr">
        <is>
          <t>Closed</t>
        </is>
      </c>
      <c r="L26" s="46" t="inlineStr">
        <is>
          <t>2026-04-28</t>
        </is>
      </c>
      <c r="M26" s="46" t="inlineStr">
        <is>
          <t>2026-04-29</t>
        </is>
      </c>
      <c r="N26" s="46" t="inlineStr">
        <is>
          <t>Nile Production Support</t>
        </is>
      </c>
      <c r="O26" s="46" t="inlineStr">
        <is>
          <t>Unassigned</t>
        </is>
      </c>
      <c r="P26" s="46" t="inlineStr">
        <is>
          <t>Kantimahanti, Ravisankar</t>
        </is>
      </c>
      <c r="Q26" s="46" t="inlineStr">
        <is>
          <t>Resolved</t>
        </is>
      </c>
      <c r="R26" s="47"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S26" s="46" t="inlineStr"/>
      <c r="T26" s="46" t="inlineStr"/>
      <c r="U26" s="46" t="inlineStr"/>
      <c r="V26" s="61" t="inlineStr">
        <is>
          <t>Spooler issue</t>
        </is>
      </c>
      <c r="W26" s="46" t="inlineStr"/>
    </row>
    <row r="27">
      <c r="A27" s="43" t="inlineStr">
        <is>
          <t>IT-3017569</t>
        </is>
      </c>
      <c r="B27" s="43" t="inlineStr">
        <is>
          <t>IT-3017569</t>
        </is>
      </c>
      <c r="C27" s="43" t="inlineStr"/>
      <c r="D27" s="44" t="inlineStr">
        <is>
          <t>Nile NAS spooler failures</t>
        </is>
      </c>
      <c r="E27" s="44" t="inlineStr">
        <is>
          <t>Nile NAS spooler failures Effected clients: caloptima -tba geisinger -tba triples - qnxttricm Carefirst Aetna HRP</t>
        </is>
      </c>
      <c r="F27" s="44" t="inlineStr">
        <is>
          <t>Duplicate ticket created.</t>
        </is>
      </c>
      <c r="G27" s="44" t="inlineStr"/>
      <c r="H27" s="43" t="inlineStr">
        <is>
          <t>Other</t>
        </is>
      </c>
      <c r="I27" s="43" t="inlineStr">
        <is>
          <t>Other</t>
        </is>
      </c>
      <c r="J27" s="43" t="inlineStr"/>
      <c r="K27" s="43" t="inlineStr">
        <is>
          <t>Cancelled</t>
        </is>
      </c>
      <c r="L27" s="43" t="inlineStr">
        <is>
          <t>2026-04-28</t>
        </is>
      </c>
      <c r="M27" s="43" t="inlineStr">
        <is>
          <t>2026-04-29</t>
        </is>
      </c>
      <c r="N27" s="43" t="inlineStr">
        <is>
          <t>Nile Production Support</t>
        </is>
      </c>
      <c r="O27" s="43" t="inlineStr">
        <is>
          <t>Unassigned</t>
        </is>
      </c>
      <c r="P27" s="43" t="inlineStr">
        <is>
          <t>Kamsetty, Sravani</t>
        </is>
      </c>
      <c r="Q27" s="43" t="inlineStr">
        <is>
          <t>Cancelled</t>
        </is>
      </c>
      <c r="R27" s="44" t="inlineStr">
        <is>
          <t>Duplicate ticket created.</t>
        </is>
      </c>
      <c r="S27" s="43" t="inlineStr"/>
      <c r="T27" s="43" t="inlineStr"/>
      <c r="U27" s="43" t="inlineStr"/>
      <c r="V27" s="58" t="inlineStr">
        <is>
          <t>Other</t>
        </is>
      </c>
      <c r="W27" s="43" t="inlineStr">
        <is>
          <t>Yes</t>
        </is>
      </c>
    </row>
    <row r="28">
      <c r="A28" s="46" t="inlineStr">
        <is>
          <t>IT-3017529</t>
        </is>
      </c>
      <c r="B28" s="46" t="inlineStr">
        <is>
          <t>IT-3017529</t>
        </is>
      </c>
      <c r="C28" s="46" t="inlineStr"/>
      <c r="D28" s="47" t="inlineStr">
        <is>
          <t>Nile NAS spooler failures</t>
        </is>
      </c>
      <c r="E28" s="47" t="inlineStr">
        <is>
          <t>Nile NAS spooler failures Effected clients: caloptima -tba geisinger -tba triples - qnxttricm Carefirst Aetna HRP</t>
        </is>
      </c>
      <c r="F28" s="47" t="inlineStr">
        <is>
          <t>Nile NAS spoolers failed and Joined command center bridge call. Helped gathering the issue and ran the pipelines manually as a workaround until the issue is fixed.</t>
        </is>
      </c>
      <c r="G28" s="47" t="inlineStr">
        <is>
          <t>Nile NAS spoolers failed and Joined command center bridge call. Helped gathering the issue and ran the pipelines manually as a workaround until the issue is fixed.</t>
        </is>
      </c>
      <c r="H28" s="46" t="inlineStr">
        <is>
          <t>Other</t>
        </is>
      </c>
      <c r="I28" s="46" t="inlineStr">
        <is>
          <t>Other</t>
        </is>
      </c>
      <c r="J28" s="46" t="inlineStr"/>
      <c r="K28" s="46" t="inlineStr">
        <is>
          <t>Closed</t>
        </is>
      </c>
      <c r="L28" s="46" t="inlineStr">
        <is>
          <t>2026-04-28</t>
        </is>
      </c>
      <c r="M28" s="46" t="inlineStr">
        <is>
          <t>2026-04-28</t>
        </is>
      </c>
      <c r="N28" s="46" t="inlineStr">
        <is>
          <t>Nile Production Support</t>
        </is>
      </c>
      <c r="O28" s="46" t="inlineStr">
        <is>
          <t>Unassigned</t>
        </is>
      </c>
      <c r="P28" s="46" t="inlineStr">
        <is>
          <t>Kamsetty, Sravani</t>
        </is>
      </c>
      <c r="Q28" s="46" t="inlineStr">
        <is>
          <t>Resolved</t>
        </is>
      </c>
      <c r="R28" s="47" t="inlineStr">
        <is>
          <t>Nile NAS spoolers failed and Joined command center bridge call. Helped gathering the issue and ran the pipelines manually as a workaround until the issue is fixed.</t>
        </is>
      </c>
      <c r="S28" s="46" t="inlineStr"/>
      <c r="T28" s="46" t="inlineStr"/>
      <c r="U28" s="46" t="inlineStr"/>
      <c r="V28" s="61" t="inlineStr">
        <is>
          <t>Spooler issue</t>
        </is>
      </c>
      <c r="W28" s="46" t="inlineStr"/>
    </row>
    <row r="29">
      <c r="A29" s="43" t="inlineStr">
        <is>
          <t>IT-3017053</t>
        </is>
      </c>
      <c r="B29" s="43" t="inlineStr">
        <is>
          <t>IT-3017053</t>
        </is>
      </c>
      <c r="C29" s="43" t="inlineStr"/>
      <c r="D29" s="44" t="inlineStr">
        <is>
          <t>Request to add EDM's distro list to NILE's email notifications</t>
        </is>
      </c>
      <c r="E29" s="44" t="inlineStr">
        <is>
          <t>Hi Nile Prod Support team. Please add EDM’s distribution list to NILE’s ingestion report email notifications (see sample attached). EDM’s distribution list for each client is also attached.</t>
        </is>
      </c>
      <c r="F29" s="44"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G29" s="44" t="inlineStr"/>
      <c r="H29" s="43" t="inlineStr">
        <is>
          <t>Other</t>
        </is>
      </c>
      <c r="I29" s="43" t="inlineStr">
        <is>
          <t>Other</t>
        </is>
      </c>
      <c r="J29" s="43" t="inlineStr"/>
      <c r="K29" s="43" t="inlineStr">
        <is>
          <t>On Hold</t>
        </is>
      </c>
      <c r="L29" s="43" t="inlineStr">
        <is>
          <t>2026-04-27</t>
        </is>
      </c>
      <c r="M29" s="43" t="inlineStr">
        <is>
          <t>2026-04-29</t>
        </is>
      </c>
      <c r="N29" s="43" t="inlineStr">
        <is>
          <t>Nile Production Support</t>
        </is>
      </c>
      <c r="O29" s="43" t="inlineStr">
        <is>
          <t>Unassigned</t>
        </is>
      </c>
      <c r="P29" s="43" t="inlineStr">
        <is>
          <t>Pacete, John</t>
        </is>
      </c>
      <c r="Q29" s="43" t="inlineStr">
        <is>
          <t>Unresolved</t>
        </is>
      </c>
      <c r="R29" s="44"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S29" s="43" t="inlineStr"/>
      <c r="T29" s="43" t="inlineStr"/>
      <c r="U29" s="43" t="inlineStr"/>
      <c r="V29" s="58" t="inlineStr">
        <is>
          <t>Other</t>
        </is>
      </c>
      <c r="W29" s="43" t="inlineStr">
        <is>
          <t>Yes</t>
        </is>
      </c>
    </row>
    <row r="30">
      <c r="A30" s="46" t="inlineStr">
        <is>
          <t>IT-3016920</t>
        </is>
      </c>
      <c r="B30" s="46" t="inlineStr">
        <is>
          <t>IT-3016920</t>
        </is>
      </c>
      <c r="C30" s="46" t="inlineStr"/>
      <c r="D30" s="47" t="inlineStr">
        <is>
          <t>Copy files From Nile Prod Raw path to Nile QC Raw path - Aetna Trad</t>
        </is>
      </c>
      <c r="E30" s="47"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0" s="47" t="inlineStr">
        <is>
          <t>Files Copied</t>
        </is>
      </c>
      <c r="G30" s="47" t="inlineStr">
        <is>
          <t>Files Copied</t>
        </is>
      </c>
      <c r="H30" s="46" t="inlineStr">
        <is>
          <t>Other</t>
        </is>
      </c>
      <c r="I30" s="46" t="inlineStr">
        <is>
          <t>Other</t>
        </is>
      </c>
      <c r="J30" s="46" t="inlineStr"/>
      <c r="K30" s="46" t="inlineStr">
        <is>
          <t>Closed</t>
        </is>
      </c>
      <c r="L30" s="46" t="inlineStr">
        <is>
          <t>2026-04-27</t>
        </is>
      </c>
      <c r="M30" s="46" t="inlineStr">
        <is>
          <t>2026-04-27</t>
        </is>
      </c>
      <c r="N30" s="46" t="inlineStr">
        <is>
          <t>Nile Production Support</t>
        </is>
      </c>
      <c r="O30" s="46" t="inlineStr">
        <is>
          <t>Unassigned</t>
        </is>
      </c>
      <c r="P30" s="46" t="inlineStr">
        <is>
          <t>Shivalingu, Naveen</t>
        </is>
      </c>
      <c r="Q30" s="46" t="inlineStr">
        <is>
          <t>Resolved</t>
        </is>
      </c>
      <c r="R30" s="47" t="inlineStr">
        <is>
          <t>Files Copied</t>
        </is>
      </c>
      <c r="S30" s="46" t="inlineStr"/>
      <c r="T30" s="46" t="inlineStr"/>
      <c r="U30" s="46" t="inlineStr"/>
      <c r="V30" s="57" t="inlineStr">
        <is>
          <t>Other</t>
        </is>
      </c>
      <c r="W30" s="46" t="inlineStr">
        <is>
          <t>Yes</t>
        </is>
      </c>
    </row>
    <row r="31">
      <c r="A31" s="43" t="inlineStr">
        <is>
          <t>IT-3016913</t>
        </is>
      </c>
      <c r="B31" s="43" t="inlineStr">
        <is>
          <t>IT-3016913</t>
        </is>
      </c>
      <c r="C31" s="43" t="inlineStr"/>
      <c r="D31" s="44" t="inlineStr">
        <is>
          <t>Copy files From Nile Prod Raw path to Nile QC Raw path - Aetna Trad</t>
        </is>
      </c>
      <c r="E31" s="44"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1" s="44" t="inlineStr">
        <is>
          <t>Files are already copied</t>
        </is>
      </c>
      <c r="G31" s="44" t="inlineStr">
        <is>
          <t>Files are already copied</t>
        </is>
      </c>
      <c r="H31" s="43" t="inlineStr">
        <is>
          <t>Other</t>
        </is>
      </c>
      <c r="I31" s="43" t="inlineStr">
        <is>
          <t>Other</t>
        </is>
      </c>
      <c r="J31" s="43" t="inlineStr"/>
      <c r="K31" s="43" t="inlineStr">
        <is>
          <t>Closed</t>
        </is>
      </c>
      <c r="L31" s="43" t="inlineStr">
        <is>
          <t>2026-04-27</t>
        </is>
      </c>
      <c r="M31" s="43" t="inlineStr">
        <is>
          <t>2026-04-28</t>
        </is>
      </c>
      <c r="N31" s="43" t="inlineStr">
        <is>
          <t>Nile Production Support</t>
        </is>
      </c>
      <c r="O31" s="43" t="inlineStr">
        <is>
          <t>Unassigned</t>
        </is>
      </c>
      <c r="P31" s="43" t="inlineStr">
        <is>
          <t>Shivalingu, Naveen</t>
        </is>
      </c>
      <c r="Q31" s="43" t="inlineStr">
        <is>
          <t>Resolved</t>
        </is>
      </c>
      <c r="R31" s="44" t="inlineStr">
        <is>
          <t>Files are already copied</t>
        </is>
      </c>
      <c r="S31" s="43" t="inlineStr"/>
      <c r="T31" s="43" t="inlineStr"/>
      <c r="U31" s="43" t="inlineStr"/>
      <c r="V31" s="58" t="inlineStr">
        <is>
          <t>Other</t>
        </is>
      </c>
      <c r="W31" s="43" t="inlineStr">
        <is>
          <t>Yes</t>
        </is>
      </c>
    </row>
    <row r="32">
      <c r="A32" s="46" t="inlineStr">
        <is>
          <t>IT-3016384</t>
        </is>
      </c>
      <c r="B32" s="46" t="inlineStr">
        <is>
          <t>IT-3016384</t>
        </is>
      </c>
      <c r="C32" s="46" t="inlineStr"/>
      <c r="D32" s="47" t="inlineStr">
        <is>
          <t>Molina Raw Data Needed</t>
        </is>
      </c>
      <c r="E32" s="47"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F32" s="47" t="inlineStr">
        <is>
          <t>Hi Arevalo, Anna Shared IA,KY,MC and UT raw files Thanks Satish Devatha</t>
        </is>
      </c>
      <c r="G32" s="47" t="inlineStr">
        <is>
          <t>Shared IA,KY,MC and UT raw files</t>
        </is>
      </c>
      <c r="H32" s="46" t="inlineStr">
        <is>
          <t>Other</t>
        </is>
      </c>
      <c r="I32" s="46" t="inlineStr">
        <is>
          <t>Other</t>
        </is>
      </c>
      <c r="J32" s="46" t="inlineStr"/>
      <c r="K32" s="46" t="inlineStr">
        <is>
          <t>Closed</t>
        </is>
      </c>
      <c r="L32" s="46" t="inlineStr">
        <is>
          <t>2026-04-27</t>
        </is>
      </c>
      <c r="M32" s="46" t="inlineStr">
        <is>
          <t>2026-04-29</t>
        </is>
      </c>
      <c r="N32" s="46" t="inlineStr">
        <is>
          <t>Nile Production Support</t>
        </is>
      </c>
      <c r="O32" s="46" t="inlineStr">
        <is>
          <t>Unassigned</t>
        </is>
      </c>
      <c r="P32" s="46" t="inlineStr">
        <is>
          <t>Arevalo, Anna</t>
        </is>
      </c>
      <c r="Q32" s="46" t="inlineStr">
        <is>
          <t>Resolved</t>
        </is>
      </c>
      <c r="R32" s="47" t="inlineStr">
        <is>
          <t>Hi Arevalo, Anna Shared IA,KY,MC and UT raw files Thanks Satish Devatha</t>
        </is>
      </c>
      <c r="S32" s="46" t="inlineStr"/>
      <c r="T32" s="46" t="inlineStr"/>
      <c r="U32" s="46" t="inlineStr"/>
      <c r="V32" s="55" t="inlineStr">
        <is>
          <t>Data Issue</t>
        </is>
      </c>
      <c r="W32" s="46" t="inlineStr"/>
    </row>
    <row r="33">
      <c r="A33" s="43" t="inlineStr">
        <is>
          <t>IT-3016136</t>
        </is>
      </c>
      <c r="B33" s="43" t="inlineStr">
        <is>
          <t>IT-3016136</t>
        </is>
      </c>
      <c r="C33" s="43" t="inlineStr"/>
      <c r="D33" s="44" t="inlineStr">
        <is>
          <t>Update spooler name</t>
        </is>
      </c>
      <c r="E33" s="44" t="inlineStr">
        <is>
          <t>Hi Team, Could you please update the spooler name in prod? Before : Wellcare-Wellcare_Actian_PBM_MTH_notouch New name : Wellcare-Wellcare_notouch Thank you!</t>
        </is>
      </c>
      <c r="F33" s="44" t="inlineStr">
        <is>
          <t>Hi Varghese, Shilpa Anna updated the spooler name Thanks</t>
        </is>
      </c>
      <c r="G33" s="44" t="inlineStr">
        <is>
          <t>Updated Spooler name</t>
        </is>
      </c>
      <c r="H33" s="43" t="inlineStr">
        <is>
          <t>Other</t>
        </is>
      </c>
      <c r="I33" s="43" t="inlineStr">
        <is>
          <t>Other</t>
        </is>
      </c>
      <c r="J33" s="43" t="inlineStr"/>
      <c r="K33" s="43" t="inlineStr">
        <is>
          <t>Closed</t>
        </is>
      </c>
      <c r="L33" s="43" t="inlineStr">
        <is>
          <t>2026-04-27</t>
        </is>
      </c>
      <c r="M33" s="43" t="inlineStr">
        <is>
          <t>2026-04-27</t>
        </is>
      </c>
      <c r="N33" s="43" t="inlineStr">
        <is>
          <t>Nile Production Support</t>
        </is>
      </c>
      <c r="O33" s="43" t="inlineStr">
        <is>
          <t>Unassigned</t>
        </is>
      </c>
      <c r="P33" s="43" t="inlineStr">
        <is>
          <t>Varghese, Shilpa Anna</t>
        </is>
      </c>
      <c r="Q33" s="43" t="inlineStr">
        <is>
          <t>Resolved</t>
        </is>
      </c>
      <c r="R33" s="44" t="inlineStr">
        <is>
          <t>Hi Varghese, Shilpa Anna updated the spooler name Thanks</t>
        </is>
      </c>
      <c r="S33" s="43" t="inlineStr"/>
      <c r="T33" s="43" t="inlineStr"/>
      <c r="U33" s="43" t="inlineStr"/>
      <c r="V33" s="58" t="inlineStr">
        <is>
          <t>Other</t>
        </is>
      </c>
      <c r="W33" s="43" t="inlineStr">
        <is>
          <t>Yes</t>
        </is>
      </c>
    </row>
    <row r="34">
      <c r="A34" s="46" t="inlineStr">
        <is>
          <t>IT-3016120</t>
        </is>
      </c>
      <c r="B34" s="46" t="inlineStr">
        <is>
          <t>IT-3016120</t>
        </is>
      </c>
      <c r="C34" s="46" t="inlineStr"/>
      <c r="D34" s="47" t="inlineStr">
        <is>
          <t>Move two Aetna Trad files to different folders</t>
        </is>
      </c>
      <c r="E34" s="47"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F34" s="47" t="inlineStr">
        <is>
          <t>Hi Maguire, Patrick Files moved and updated permissions too please verify</t>
        </is>
      </c>
      <c r="G34" s="47" t="inlineStr">
        <is>
          <t>Files moved and updated permissions too</t>
        </is>
      </c>
      <c r="H34" s="46" t="inlineStr">
        <is>
          <t>Other</t>
        </is>
      </c>
      <c r="I34" s="46" t="inlineStr">
        <is>
          <t>Other</t>
        </is>
      </c>
      <c r="J34" s="46" t="inlineStr"/>
      <c r="K34" s="46" t="inlineStr">
        <is>
          <t>Closed</t>
        </is>
      </c>
      <c r="L34" s="46" t="inlineStr">
        <is>
          <t>2026-04-27</t>
        </is>
      </c>
      <c r="M34" s="46" t="inlineStr">
        <is>
          <t>2026-04-27</t>
        </is>
      </c>
      <c r="N34" s="46" t="inlineStr">
        <is>
          <t>Nile Production Support</t>
        </is>
      </c>
      <c r="O34" s="46" t="inlineStr">
        <is>
          <t>Unassigned</t>
        </is>
      </c>
      <c r="P34" s="46" t="inlineStr">
        <is>
          <t>Maguire, Patrick</t>
        </is>
      </c>
      <c r="Q34" s="46" t="inlineStr">
        <is>
          <t>Resolved</t>
        </is>
      </c>
      <c r="R34" s="47" t="inlineStr">
        <is>
          <t>Hi Maguire, Patrick Files moved and updated permissions too please verify</t>
        </is>
      </c>
      <c r="S34" s="46" t="inlineStr"/>
      <c r="T34" s="46" t="inlineStr"/>
      <c r="U34" s="46" t="inlineStr"/>
      <c r="V34" s="57" t="inlineStr">
        <is>
          <t>Other</t>
        </is>
      </c>
      <c r="W34" s="46" t="inlineStr">
        <is>
          <t>Yes</t>
        </is>
      </c>
    </row>
    <row r="35">
      <c r="A35" s="43" t="inlineStr">
        <is>
          <t>IT-3016008</t>
        </is>
      </c>
      <c r="B35" s="43" t="inlineStr">
        <is>
          <t>IT-3016008</t>
        </is>
      </c>
      <c r="C35" s="43" t="inlineStr"/>
      <c r="D35" s="44" t="inlineStr">
        <is>
          <t>Requesting information for Cigna Gross ID amount dataset</t>
        </is>
      </c>
      <c r="E35" s="44" t="inlineStr">
        <is>
          <t>We are looking to learn information on Cigna Gross ID amount dataset as it relates to if it is provided to Nile and if so how and where it can accessed.</t>
        </is>
      </c>
      <c r="F35" s="44" t="inlineStr"/>
      <c r="G35" s="44" t="inlineStr"/>
      <c r="H35" s="43" t="inlineStr">
        <is>
          <t>Other</t>
        </is>
      </c>
      <c r="I35" s="43" t="inlineStr">
        <is>
          <t>Other</t>
        </is>
      </c>
      <c r="J35" s="43" t="inlineStr"/>
      <c r="K35" s="43" t="inlineStr">
        <is>
          <t>In Progress (HD1)</t>
        </is>
      </c>
      <c r="L35" s="43" t="inlineStr">
        <is>
          <t>2026-04-27</t>
        </is>
      </c>
      <c r="M35" s="43" t="inlineStr">
        <is>
          <t>2026-04-28</t>
        </is>
      </c>
      <c r="N35" s="43" t="inlineStr">
        <is>
          <t>Nile Production Support</t>
        </is>
      </c>
      <c r="O35" s="43" t="inlineStr">
        <is>
          <t>Unassigned</t>
        </is>
      </c>
      <c r="P35" s="43" t="inlineStr">
        <is>
          <t>Hayes, Denzel</t>
        </is>
      </c>
      <c r="Q35" s="43" t="inlineStr">
        <is>
          <t>Unresolved</t>
        </is>
      </c>
      <c r="R35" s="44" t="inlineStr"/>
      <c r="S35" s="43" t="inlineStr"/>
      <c r="T35" s="43" t="inlineStr"/>
      <c r="U35" s="43" t="inlineStr"/>
      <c r="V35" s="58" t="inlineStr">
        <is>
          <t>Other</t>
        </is>
      </c>
      <c r="W35" s="43" t="inlineStr">
        <is>
          <t>Yes</t>
        </is>
      </c>
    </row>
    <row r="36">
      <c r="A36" s="46" t="inlineStr">
        <is>
          <t>IT-3015943</t>
        </is>
      </c>
      <c r="B36" s="46" t="inlineStr">
        <is>
          <t>IT-3015943</t>
        </is>
      </c>
      <c r="C36" s="46" t="inlineStr"/>
      <c r="D36" s="47" t="inlineStr">
        <is>
          <t>Weekly rccv-bsca-facets-ingest_history_institutional_claims_GDF2_12 got failed due to significant data drop for date 04/25.</t>
        </is>
      </c>
      <c r="E36" s="47" t="inlineStr">
        <is>
          <t>Above pipeline got failed due to significant data drop and CSM wants to know the reason for it. Please help investigate and reply to the mail subject: Data metric percentage drop hits threshold 20260425 - prod - rccv-bsca-facets-ingest_history_institutional_claims_GDF2_12</t>
        </is>
      </c>
      <c r="F36" s="47" t="inlineStr">
        <is>
          <t>Hi Kandel, Amik shared the counts with Paul and Rhona Waiting for response on replacement file Got confirmation to add parameter. Now pipeline is running now Hi Kandel, Amik Pipeline completed</t>
        </is>
      </c>
      <c r="G36" s="47" t="inlineStr">
        <is>
          <t>Pipeline completed</t>
        </is>
      </c>
      <c r="H36" s="46" t="inlineStr">
        <is>
          <t>Other</t>
        </is>
      </c>
      <c r="I36" s="46" t="inlineStr">
        <is>
          <t>Other</t>
        </is>
      </c>
      <c r="J36" s="46" t="inlineStr"/>
      <c r="K36" s="46" t="inlineStr">
        <is>
          <t>Closed</t>
        </is>
      </c>
      <c r="L36" s="46" t="inlineStr">
        <is>
          <t>2026-04-27</t>
        </is>
      </c>
      <c r="M36" s="46" t="inlineStr">
        <is>
          <t>2026-04-29</t>
        </is>
      </c>
      <c r="N36" s="46" t="inlineStr">
        <is>
          <t>Nile Production Support</t>
        </is>
      </c>
      <c r="O36" s="46" t="inlineStr">
        <is>
          <t>Unassigned</t>
        </is>
      </c>
      <c r="P36" s="46" t="inlineStr">
        <is>
          <t>Kandel, Amik</t>
        </is>
      </c>
      <c r="Q36" s="46" t="inlineStr">
        <is>
          <t>Resolved</t>
        </is>
      </c>
      <c r="R36" s="47" t="inlineStr">
        <is>
          <t>Hi Kandel, Amik shared the counts with Paul and Rhona Waiting for response on replacement file Got confirmation to add parameter. Now pipeline is running now Hi Kandel, Amik Pipeline completed</t>
        </is>
      </c>
      <c r="S36" s="46" t="inlineStr"/>
      <c r="T36" s="46" t="inlineStr"/>
      <c r="U36" s="46" t="inlineStr"/>
      <c r="V36" s="55" t="inlineStr">
        <is>
          <t>Data Issue</t>
        </is>
      </c>
      <c r="W36" s="46" t="inlineStr"/>
    </row>
    <row r="37">
      <c r="A37" s="43" t="inlineStr">
        <is>
          <t>IT-3015919</t>
        </is>
      </c>
      <c r="B37" s="43" t="inlineStr">
        <is>
          <t>IT-3015919</t>
        </is>
      </c>
      <c r="C37" s="43" t="inlineStr"/>
      <c r="D37" s="44" t="inlineStr">
        <is>
          <t>UHC Cosmos Layout update in file 'HCCC_CD_OUT_&lt;&gt;'</t>
        </is>
      </c>
      <c r="E37" s="44" t="inlineStr">
        <is>
          <t>Hello Nile Team, There is a layout update in file ‘HCCC_CD_OUT_&lt;&gt;’. Could you please update the data type length of fields HcccDesc to Varchar(24) and HcccSumTxt to Varchar(27) The pipeline name that needs to be updated is prod - dm-uhc-cosmos-actian_migration_HcccCd Thanks, Priya</t>
        </is>
      </c>
      <c r="F37" s="44" t="inlineStr">
        <is>
          <t>Dongol, Priya Pipeline dm-uhc-cosmos-actian_migration_HcccCd is now running for data date 2026/04 with updated UDC changes. Dongol, Priya pipeline has ran successfully. Closing ticket.</t>
        </is>
      </c>
      <c r="G37" s="44" t="inlineStr">
        <is>
          <t>Pipeline was updated and ran successfully.</t>
        </is>
      </c>
      <c r="H37" s="43" t="inlineStr">
        <is>
          <t>Other</t>
        </is>
      </c>
      <c r="I37" s="43" t="inlineStr">
        <is>
          <t>Other</t>
        </is>
      </c>
      <c r="J37" s="43" t="inlineStr"/>
      <c r="K37" s="43" t="inlineStr">
        <is>
          <t>Closed</t>
        </is>
      </c>
      <c r="L37" s="43" t="inlineStr">
        <is>
          <t>2026-04-27</t>
        </is>
      </c>
      <c r="M37" s="43" t="inlineStr">
        <is>
          <t>2026-04-27</t>
        </is>
      </c>
      <c r="N37" s="43" t="inlineStr">
        <is>
          <t>Nile Production Support</t>
        </is>
      </c>
      <c r="O37" s="43" t="inlineStr">
        <is>
          <t>Unassigned</t>
        </is>
      </c>
      <c r="P37" s="43" t="inlineStr">
        <is>
          <t>Dongol, Priya</t>
        </is>
      </c>
      <c r="Q37" s="43" t="inlineStr">
        <is>
          <t>Resolved</t>
        </is>
      </c>
      <c r="R37" s="44" t="inlineStr">
        <is>
          <t>Dongol, Priya Pipeline dm-uhc-cosmos-actian_migration_HcccCd is now running for data date 2026/04 with updated UDC changes. Dongol, Priya pipeline has ran successfully. Closing ticket.</t>
        </is>
      </c>
      <c r="S37" s="43" t="inlineStr"/>
      <c r="T37" s="43" t="inlineStr"/>
      <c r="U37" s="43" t="inlineStr"/>
      <c r="V37" s="45" t="inlineStr">
        <is>
          <t>Schema issue</t>
        </is>
      </c>
      <c r="W37" s="43" t="inlineStr"/>
    </row>
    <row r="38">
      <c r="A38" s="46" t="inlineStr">
        <is>
          <t>IT-3015767</t>
        </is>
      </c>
      <c r="B38" s="46" t="inlineStr">
        <is>
          <t>IT-3015767</t>
        </is>
      </c>
      <c r="C38" s="46" t="inlineStr"/>
      <c r="D38" s="47" t="inlineStr">
        <is>
          <t>UHC Cosmos/Unet - Layout Update in file ‘DISCOUNT_TYPE_CD_OUT_&lt;&gt;’</t>
        </is>
      </c>
      <c r="E38" s="47" t="inlineStr">
        <is>
          <t>Hello Nile Production Team, We have a layout update on field DscntTypDesc for file ‘DISCOUNT_TYPE_CD_OUT_&lt;&gt;’. I have updated the length of this field in both Cosmos and Unet SQL tables. Could you please update the data type length of fields DscntTypDesc to varchar(1500) in Nile pipelines? Pipeline names are; prod - dm-uhc-cosmos-actian_migration_dscnttype prod - dm-uhc-unet-actian_migration_DscntType Thanks, Priya</t>
        </is>
      </c>
      <c r="F38" s="47"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G38" s="47" t="inlineStr">
        <is>
          <t>Pipeline was updated and ran successfully.</t>
        </is>
      </c>
      <c r="H38" s="46" t="inlineStr">
        <is>
          <t>Other</t>
        </is>
      </c>
      <c r="I38" s="46" t="inlineStr">
        <is>
          <t>Other</t>
        </is>
      </c>
      <c r="J38" s="46" t="inlineStr"/>
      <c r="K38" s="46" t="inlineStr">
        <is>
          <t>Closed</t>
        </is>
      </c>
      <c r="L38" s="46" t="inlineStr">
        <is>
          <t>2026-04-27</t>
        </is>
      </c>
      <c r="M38" s="46" t="inlineStr">
        <is>
          <t>2026-05-04</t>
        </is>
      </c>
      <c r="N38" s="46" t="inlineStr">
        <is>
          <t>Nile Production Support</t>
        </is>
      </c>
      <c r="O38" s="46" t="inlineStr">
        <is>
          <t>Unassigned</t>
        </is>
      </c>
      <c r="P38" s="46" t="inlineStr">
        <is>
          <t>Dongol, Priya</t>
        </is>
      </c>
      <c r="Q38" s="46" t="inlineStr">
        <is>
          <t>Resolved</t>
        </is>
      </c>
      <c r="R38" s="47"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S38" s="46" t="inlineStr"/>
      <c r="T38" s="46" t="inlineStr"/>
      <c r="U38" s="46" t="inlineStr"/>
      <c r="V38" s="52" t="inlineStr">
        <is>
          <t>Pipeline Schedule</t>
        </is>
      </c>
      <c r="W38" s="46" t="inlineStr"/>
    </row>
    <row r="39">
      <c r="A39" s="43" t="inlineStr">
        <is>
          <t>IT-3015029</t>
        </is>
      </c>
      <c r="B39" s="43" t="inlineStr">
        <is>
          <t>IT-3015029</t>
        </is>
      </c>
      <c r="C39" s="43" t="inlineStr"/>
      <c r="D39" s="44" t="inlineStr">
        <is>
          <t>Removing unused spoolers with a retention period of ‘-1’ from the production environment.</t>
        </is>
      </c>
      <c r="E39" s="44"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F39" s="44" t="inlineStr">
        <is>
          <t>Deleted date: 22-04-2026</t>
        </is>
      </c>
      <c r="G39" s="44" t="inlineStr">
        <is>
          <t>Removed the unused spoolers.</t>
        </is>
      </c>
      <c r="H39" s="43" t="inlineStr">
        <is>
          <t>Other</t>
        </is>
      </c>
      <c r="I39" s="43" t="inlineStr">
        <is>
          <t>Other</t>
        </is>
      </c>
      <c r="J39" s="43" t="inlineStr"/>
      <c r="K39" s="43" t="inlineStr">
        <is>
          <t>Closed</t>
        </is>
      </c>
      <c r="L39" s="43" t="inlineStr">
        <is>
          <t>2026-04-27</t>
        </is>
      </c>
      <c r="M39" s="43" t="inlineStr">
        <is>
          <t>2026-04-27</t>
        </is>
      </c>
      <c r="N39" s="43" t="inlineStr">
        <is>
          <t>Nile Production Support</t>
        </is>
      </c>
      <c r="O39" s="43" t="inlineStr">
        <is>
          <t>Unassigned</t>
        </is>
      </c>
      <c r="P39" s="43" t="inlineStr">
        <is>
          <t>Karakavalasa, SriVarshini</t>
        </is>
      </c>
      <c r="Q39" s="43" t="inlineStr">
        <is>
          <t>Resolved</t>
        </is>
      </c>
      <c r="R39" s="44" t="inlineStr">
        <is>
          <t>Deleted date: 22-04-2026</t>
        </is>
      </c>
      <c r="S39" s="43" t="inlineStr"/>
      <c r="T39" s="43" t="inlineStr"/>
      <c r="U39" s="43" t="inlineStr"/>
      <c r="V39" s="58" t="inlineStr">
        <is>
          <t>Other</t>
        </is>
      </c>
      <c r="W39" s="43" t="inlineStr">
        <is>
          <t>Yes</t>
        </is>
      </c>
    </row>
    <row r="40">
      <c r="A40" s="46" t="inlineStr">
        <is>
          <t>IT-3014397</t>
        </is>
      </c>
      <c r="B40" s="46" t="inlineStr">
        <is>
          <t>IT-3014397</t>
        </is>
      </c>
      <c r="C40" s="46" t="inlineStr"/>
      <c r="D40" s="47" t="inlineStr">
        <is>
          <t>Please help ingest 4/13's UHC Cirrus file</t>
        </is>
      </c>
      <c r="E40" s="47" t="inlineStr">
        <is>
          <t>Hello team we received Cirrus weekly files on 4/21, the ingestion was on hold because we have to finish some process first. Now the process from our end has completed. The 4/21’s file has been copied over for Nile ingestion would you please help ingest all the files? This is a very time sensitive request, thanks and please let me know if you need additional info.</t>
        </is>
      </c>
      <c r="F40" s="47" t="inlineStr">
        <is>
          <t>Hi Tang, Chao , Files spooled and processed from NILE under 20260420 ingestion date. Please check and confirm. Chao confirmed to close the ticket. Thanks.</t>
        </is>
      </c>
      <c r="G40" s="47" t="inlineStr">
        <is>
          <t>Files processed from NILE.</t>
        </is>
      </c>
      <c r="H40" s="46" t="inlineStr">
        <is>
          <t>Other</t>
        </is>
      </c>
      <c r="I40" s="46" t="inlineStr">
        <is>
          <t>Other</t>
        </is>
      </c>
      <c r="J40" s="46" t="inlineStr"/>
      <c r="K40" s="46" t="inlineStr">
        <is>
          <t>Closed</t>
        </is>
      </c>
      <c r="L40" s="46" t="inlineStr">
        <is>
          <t>2026-04-26</t>
        </is>
      </c>
      <c r="M40" s="46" t="inlineStr">
        <is>
          <t>2026-04-28</t>
        </is>
      </c>
      <c r="N40" s="46" t="inlineStr">
        <is>
          <t>Nile Production Support</t>
        </is>
      </c>
      <c r="O40" s="46" t="inlineStr">
        <is>
          <t>Unassigned</t>
        </is>
      </c>
      <c r="P40" s="46" t="inlineStr">
        <is>
          <t>Tang, Chao</t>
        </is>
      </c>
      <c r="Q40" s="46" t="inlineStr">
        <is>
          <t>Resolved</t>
        </is>
      </c>
      <c r="R40" s="47" t="inlineStr">
        <is>
          <t>Hi Tang, Chao , Files spooled and processed from NILE under 20260420 ingestion date. Please check and confirm. Chao confirmed to close the ticket. Thanks.</t>
        </is>
      </c>
      <c r="S40" s="46" t="inlineStr"/>
      <c r="T40" s="46" t="inlineStr"/>
      <c r="U40" s="46" t="inlineStr"/>
      <c r="V40" s="61" t="inlineStr">
        <is>
          <t>Spooler issue</t>
        </is>
      </c>
      <c r="W40" s="46" t="inlineStr"/>
    </row>
    <row r="41">
      <c r="A41" s="43" t="inlineStr">
        <is>
          <t>IT-3014330</t>
        </is>
      </c>
      <c r="B41" s="43" t="inlineStr">
        <is>
          <t>IT-3014330</t>
        </is>
      </c>
      <c r="C41" s="43" t="inlineStr"/>
      <c r="D41" s="44" t="inlineStr">
        <is>
          <t>Excellus Business Segments</t>
        </is>
      </c>
      <c r="E41" s="44" t="inlineStr">
        <is>
          <t>The mapping has not been implemented as expected, Claim cdf1 is still blank in files loaded on April 20 Please update mapping as requested in previous ticket</t>
        </is>
      </c>
      <c r="F41" s="44"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G41" s="44" t="inlineStr">
        <is>
          <t>Received confirmation from the user.</t>
        </is>
      </c>
      <c r="H41" s="43" t="inlineStr">
        <is>
          <t>COM</t>
        </is>
      </c>
      <c r="I41" s="43" t="inlineStr">
        <is>
          <t>Other Support</t>
        </is>
      </c>
      <c r="J41" s="43" t="inlineStr"/>
      <c r="K41" s="43" t="inlineStr">
        <is>
          <t>Closed</t>
        </is>
      </c>
      <c r="L41" s="43" t="inlineStr">
        <is>
          <t>2026-04-26</t>
        </is>
      </c>
      <c r="M41" s="43" t="inlineStr">
        <is>
          <t>2026-05-04</t>
        </is>
      </c>
      <c r="N41" s="43" t="inlineStr">
        <is>
          <t>Nile Production Support</t>
        </is>
      </c>
      <c r="O41" s="43" t="inlineStr">
        <is>
          <t>Unassigned</t>
        </is>
      </c>
      <c r="P41" s="43" t="inlineStr">
        <is>
          <t>Varughese, Neena</t>
        </is>
      </c>
      <c r="Q41" s="43" t="inlineStr">
        <is>
          <t>Resolved</t>
        </is>
      </c>
      <c r="R41" s="44"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S41" s="43" t="inlineStr"/>
      <c r="T41" s="43" t="inlineStr"/>
      <c r="U41" s="43" t="inlineStr"/>
      <c r="V41" s="49" t="inlineStr">
        <is>
          <t>Configuration Issue</t>
        </is>
      </c>
      <c r="W41" s="43" t="inlineStr"/>
    </row>
    <row r="42">
      <c r="A42" s="46" t="inlineStr">
        <is>
          <t>IT-3013659</t>
        </is>
      </c>
      <c r="B42" s="46" t="inlineStr">
        <is>
          <t>IT-3013659</t>
        </is>
      </c>
      <c r="C42" s="46" t="inlineStr"/>
      <c r="D42" s="47" t="inlineStr">
        <is>
          <t>PREBC - TBA PROF &amp; INST files missing - 04/24/2026 &amp; 04/25/2026</t>
        </is>
      </c>
      <c r="E42" s="47" t="inlineStr">
        <is>
          <t>Hi Nile Team, We are missing below files for 04/24/2026 &amp; 04/25/2026. Please check and let us know when we can expect the missing files. prebc_daily_incoming_2 prebc_outpatient_incoming_2</t>
        </is>
      </c>
      <c r="F42" s="47" t="inlineStr">
        <is>
          <t>we successfully processed the 24th and 25th data date files. attached screenshot for reference we successfully processed the 24th and 25th data date files. attached screenshot for reference.</t>
        </is>
      </c>
      <c r="G42" s="47" t="inlineStr">
        <is>
          <t>we successfully processed the 24th and 25th data date files. attached screenshot for reference.</t>
        </is>
      </c>
      <c r="H42" s="46" t="inlineStr"/>
      <c r="I42" s="46" t="inlineStr"/>
      <c r="J42" s="46" t="inlineStr"/>
      <c r="K42" s="46" t="inlineStr">
        <is>
          <t>Closed</t>
        </is>
      </c>
      <c r="L42" s="46" t="inlineStr">
        <is>
          <t>2026-04-25</t>
        </is>
      </c>
      <c r="M42" s="46" t="inlineStr">
        <is>
          <t>2026-04-28</t>
        </is>
      </c>
      <c r="N42" s="46" t="inlineStr">
        <is>
          <t>Nile Production Support</t>
        </is>
      </c>
      <c r="O42" s="46" t="inlineStr">
        <is>
          <t>Unassigned</t>
        </is>
      </c>
      <c r="P42" s="46" t="inlineStr">
        <is>
          <t>Gudala, Kumaraswamy</t>
        </is>
      </c>
      <c r="Q42" s="46" t="inlineStr">
        <is>
          <t>Closed</t>
        </is>
      </c>
      <c r="R42" s="47" t="inlineStr">
        <is>
          <t>we successfully processed the 24th and 25th data date files. attached screenshot for reference we successfully processed the 24th and 25th data date files. attached screenshot for reference.</t>
        </is>
      </c>
      <c r="S42" s="46" t="inlineStr"/>
      <c r="T42" s="46" t="inlineStr"/>
      <c r="U42" s="46" t="inlineStr"/>
      <c r="V42" s="48" t="inlineStr">
        <is>
          <t>File Missing</t>
        </is>
      </c>
      <c r="W42" s="46" t="inlineStr"/>
    </row>
    <row r="43">
      <c r="A43" s="43" t="inlineStr">
        <is>
          <t>IT-3012722</t>
        </is>
      </c>
      <c r="B43" s="43" t="inlineStr">
        <is>
          <t>IT-3012722</t>
        </is>
      </c>
      <c r="C43" s="43" t="inlineStr"/>
      <c r="D43" s="44" t="inlineStr">
        <is>
          <t>rccv-cignamedicare-facets-tba_institutional_claims_custom_GDF2_5_CDF2_5 for May 2025 ingestion..</t>
        </is>
      </c>
      <c r="E43" s="44"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F43" s="44" t="inlineStr">
        <is>
          <t>Hi Suryani, Melly Thanks for running latest version v1.9 pipeline Thanks Satish Devatha</t>
        </is>
      </c>
      <c r="G43" s="44" t="inlineStr"/>
      <c r="H43" s="43" t="inlineStr">
        <is>
          <t>Other</t>
        </is>
      </c>
      <c r="I43" s="43" t="inlineStr">
        <is>
          <t>Other</t>
        </is>
      </c>
      <c r="J43" s="43" t="inlineStr"/>
      <c r="K43" s="43" t="inlineStr">
        <is>
          <t>In Progress (HD1)</t>
        </is>
      </c>
      <c r="L43" s="43" t="inlineStr">
        <is>
          <t>2026-04-24</t>
        </is>
      </c>
      <c r="M43" s="43" t="inlineStr">
        <is>
          <t>2026-05-07</t>
        </is>
      </c>
      <c r="N43" s="43" t="inlineStr">
        <is>
          <t>Nile Production Support</t>
        </is>
      </c>
      <c r="O43" s="43" t="inlineStr">
        <is>
          <t>Unassigned</t>
        </is>
      </c>
      <c r="P43" s="43" t="inlineStr">
        <is>
          <t>Suryani, Melly</t>
        </is>
      </c>
      <c r="Q43" s="43" t="inlineStr">
        <is>
          <t>Unresolved</t>
        </is>
      </c>
      <c r="R43" s="44" t="inlineStr">
        <is>
          <t>Hi Suryani, Melly Thanks for running latest version v1.9 pipeline Thanks Satish Devatha</t>
        </is>
      </c>
      <c r="S43" s="43" t="inlineStr"/>
      <c r="T43" s="43" t="inlineStr"/>
      <c r="U43" s="43" t="inlineStr"/>
      <c r="V43" s="58" t="inlineStr">
        <is>
          <t>Other</t>
        </is>
      </c>
      <c r="W43" s="43" t="inlineStr">
        <is>
          <t>Yes</t>
        </is>
      </c>
    </row>
    <row r="44">
      <c r="A44" s="46" t="inlineStr">
        <is>
          <t>IT-3012689</t>
        </is>
      </c>
      <c r="B44" s="46" t="inlineStr">
        <is>
          <t>IT-3012689</t>
        </is>
      </c>
      <c r="C44" s="46" t="inlineStr"/>
      <c r="D44" s="47" t="inlineStr">
        <is>
          <t>Please ingest a supplemental file for BCBS_TN Member data.</t>
        </is>
      </c>
      <c r="E44" s="47" t="inlineStr">
        <is>
          <t>Please ingest a catchup file for BCBS_TN Member data, based on an existing pipeline: Existing Pipeline: dm-bcbstn-bcbstn-actian_migration_member Source File: MEMBER_AUG2025-MAR2026_GBQ_20260422.tab Target Table: BCBS_TNDataRaw.dbo.Member_Load_Monthly_Catchup</t>
        </is>
      </c>
      <c r="F44" s="47" t="inlineStr"/>
      <c r="G44" s="47" t="inlineStr">
        <is>
          <t>Completed ingestion to adhoc table as requested</t>
        </is>
      </c>
      <c r="H44" s="46" t="inlineStr">
        <is>
          <t>Other</t>
        </is>
      </c>
      <c r="I44" s="46" t="inlineStr">
        <is>
          <t>Other</t>
        </is>
      </c>
      <c r="J44" s="46" t="inlineStr"/>
      <c r="K44" s="46" t="inlineStr">
        <is>
          <t>Closed</t>
        </is>
      </c>
      <c r="L44" s="46" t="inlineStr">
        <is>
          <t>2026-04-24</t>
        </is>
      </c>
      <c r="M44" s="46" t="inlineStr">
        <is>
          <t>2026-04-27</t>
        </is>
      </c>
      <c r="N44" s="46" t="inlineStr">
        <is>
          <t>Nile Production Support</t>
        </is>
      </c>
      <c r="O44" s="46" t="inlineStr">
        <is>
          <t>Unassigned</t>
        </is>
      </c>
      <c r="P44" s="46" t="inlineStr">
        <is>
          <t>Castro, Ronald</t>
        </is>
      </c>
      <c r="Q44" s="46" t="inlineStr">
        <is>
          <t>Resolved</t>
        </is>
      </c>
      <c r="R44" s="47" t="inlineStr"/>
      <c r="S44" s="46" t="inlineStr"/>
      <c r="T44" s="46" t="inlineStr"/>
      <c r="U44" s="46" t="inlineStr"/>
      <c r="V44" s="50" t="inlineStr">
        <is>
          <t>File Issue</t>
        </is>
      </c>
      <c r="W44" s="46" t="inlineStr"/>
    </row>
    <row r="45">
      <c r="A45" s="43" t="inlineStr">
        <is>
          <t>IT-3012305</t>
        </is>
      </c>
      <c r="B45" s="43" t="inlineStr">
        <is>
          <t>IT-3012305</t>
        </is>
      </c>
      <c r="C45" s="43" t="inlineStr"/>
      <c r="D45" s="44" t="inlineStr">
        <is>
          <t>Schedule Wellcare pipelines for weekly data load files to run at 4PM ET every Monday.</t>
        </is>
      </c>
      <c r="E45" s="44" t="inlineStr">
        <is>
          <t>Currently the pipelines for these below files are scheduled to run at 8pm every Monday. Can we please set the schedule to run the pipelines of loading these files into sql tables starting 4pm ET every Monday? Generic_DB_YYYYMMDD.zip VENDOR_YYYYMMDD.txt.gz PROVIDER_YYYYMMDD_X.txt.gz CLAIM_HEADER_YYYYMMDD_X.txt.gz CLAIM_LINE_YYYYMMDD_X.txt.gz SUBSCRIBER_YYYYMMDD_X.txt.gz Sample File Names : (please see attached screenshot)</t>
        </is>
      </c>
      <c r="F45" s="44" t="inlineStr"/>
      <c r="G45" s="44" t="inlineStr">
        <is>
          <t>Monitored for the latest run and the pipelines got triggered.</t>
        </is>
      </c>
      <c r="H45" s="43" t="inlineStr">
        <is>
          <t>Other</t>
        </is>
      </c>
      <c r="I45" s="43" t="inlineStr">
        <is>
          <t>Other</t>
        </is>
      </c>
      <c r="J45" s="43" t="inlineStr"/>
      <c r="K45" s="43" t="inlineStr">
        <is>
          <t>Closed</t>
        </is>
      </c>
      <c r="L45" s="43" t="inlineStr">
        <is>
          <t>2026-04-24</t>
        </is>
      </c>
      <c r="M45" s="43" t="inlineStr">
        <is>
          <t>2026-05-06</t>
        </is>
      </c>
      <c r="N45" s="43" t="inlineStr">
        <is>
          <t>Nile Production Support</t>
        </is>
      </c>
      <c r="O45" s="43" t="inlineStr">
        <is>
          <t>Unassigned</t>
        </is>
      </c>
      <c r="P45" s="43" t="inlineStr">
        <is>
          <t>Trivedi Shukla, Zarna</t>
        </is>
      </c>
      <c r="Q45" s="43" t="inlineStr">
        <is>
          <t>Resolved</t>
        </is>
      </c>
      <c r="R45" s="44" t="inlineStr"/>
      <c r="S45" s="43" t="inlineStr"/>
      <c r="T45" s="43" t="inlineStr"/>
      <c r="U45" s="43" t="inlineStr"/>
      <c r="V45" s="62" t="inlineStr">
        <is>
          <t>Pipeline Schedule</t>
        </is>
      </c>
      <c r="W45" s="43" t="inlineStr"/>
    </row>
    <row r="46">
      <c r="A46" s="46" t="inlineStr">
        <is>
          <t>IT-3011925</t>
        </is>
      </c>
      <c r="B46" s="46" t="inlineStr">
        <is>
          <t>IT-3011925</t>
        </is>
      </c>
      <c r="C46" s="46" t="inlineStr"/>
      <c r="D46" s="47" t="inlineStr">
        <is>
          <t>BCSAL and BCPAL files not seen in CAT for production of the audit selection report</t>
        </is>
      </c>
      <c r="E46" s="47" t="inlineStr">
        <is>
          <t>Payer short BCSAL and BCPAL files were received by the client (RCA file) and ready for production on 4/7, however the files are still not visible in the CAT tool for the selections team to create the audit selection report. Not sure where the files are.</t>
        </is>
      </c>
      <c r="F46" s="47"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G46" s="47" t="inlineStr"/>
      <c r="H46" s="46" t="inlineStr">
        <is>
          <t>Other</t>
        </is>
      </c>
      <c r="I46" s="46" t="inlineStr">
        <is>
          <t>Other</t>
        </is>
      </c>
      <c r="J46" s="46" t="inlineStr"/>
      <c r="K46" s="46" t="inlineStr">
        <is>
          <t>On Hold</t>
        </is>
      </c>
      <c r="L46" s="46" t="inlineStr">
        <is>
          <t>2026-04-24</t>
        </is>
      </c>
      <c r="M46" s="46" t="inlineStr">
        <is>
          <t>2026-05-06</t>
        </is>
      </c>
      <c r="N46" s="46" t="inlineStr">
        <is>
          <t>Nile Production Support</t>
        </is>
      </c>
      <c r="O46" s="46" t="inlineStr">
        <is>
          <t>Unassigned</t>
        </is>
      </c>
      <c r="P46" s="46" t="inlineStr">
        <is>
          <t>Cashen, Judy</t>
        </is>
      </c>
      <c r="Q46" s="46" t="inlineStr">
        <is>
          <t>Unresolved</t>
        </is>
      </c>
      <c r="R46" s="47"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S46" s="46" t="inlineStr"/>
      <c r="T46" s="46" t="inlineStr"/>
      <c r="U46" s="46" t="inlineStr"/>
      <c r="V46" s="57" t="inlineStr">
        <is>
          <t>Other</t>
        </is>
      </c>
      <c r="W46" s="46" t="inlineStr">
        <is>
          <t>Yes</t>
        </is>
      </c>
    </row>
    <row r="47">
      <c r="A47" s="43" t="inlineStr">
        <is>
          <t>IT-3011918</t>
        </is>
      </c>
      <c r="B47" s="43" t="inlineStr">
        <is>
          <t>IT-3011918</t>
        </is>
      </c>
      <c r="C47" s="43" t="inlineStr"/>
      <c r="D47" s="44" t="inlineStr">
        <is>
          <t>BCSAL and BCPAL files not seen in CAT for production of the audit selection report</t>
        </is>
      </c>
      <c r="E47" s="44" t="inlineStr">
        <is>
          <t>Hi, for payer shorts BCSAL and BCPA the files were received by RCA and ready for production on 4/7, however they are not showing in the CAT tool for the selections team to produce the audit selection report. Need to know where the files are.</t>
        </is>
      </c>
      <c r="F47" s="44" t="inlineStr">
        <is>
          <t>moving to Nile per engineer not for CRS Support This is not with Nile - I'm not sure yet how we should proceed.</t>
        </is>
      </c>
      <c r="G47" s="44" t="inlineStr"/>
      <c r="H47" s="43" t="inlineStr">
        <is>
          <t>ICMS</t>
        </is>
      </c>
      <c r="I47" s="43" t="inlineStr">
        <is>
          <t>Other</t>
        </is>
      </c>
      <c r="J47" s="43" t="inlineStr"/>
      <c r="K47" s="43" t="inlineStr">
        <is>
          <t>On Hold</t>
        </is>
      </c>
      <c r="L47" s="43" t="inlineStr">
        <is>
          <t>2026-04-24</t>
        </is>
      </c>
      <c r="M47" s="43" t="inlineStr">
        <is>
          <t>2026-05-06</t>
        </is>
      </c>
      <c r="N47" s="43" t="inlineStr">
        <is>
          <t>Nile Production Support</t>
        </is>
      </c>
      <c r="O47" s="43" t="inlineStr">
        <is>
          <t>Unassigned</t>
        </is>
      </c>
      <c r="P47" s="43" t="inlineStr">
        <is>
          <t>Cashen, Judy</t>
        </is>
      </c>
      <c r="Q47" s="43" t="inlineStr">
        <is>
          <t>Unresolved</t>
        </is>
      </c>
      <c r="R47" s="44" t="inlineStr">
        <is>
          <t>moving to Nile per engineer not for CRS Support This is not with Nile - I'm not sure yet how we should proceed.</t>
        </is>
      </c>
      <c r="S47" s="43" t="inlineStr"/>
      <c r="T47" s="43" t="inlineStr"/>
      <c r="U47" s="43" t="inlineStr"/>
      <c r="V47" s="58" t="inlineStr">
        <is>
          <t>Other</t>
        </is>
      </c>
      <c r="W47" s="43" t="inlineStr">
        <is>
          <t>Yes</t>
        </is>
      </c>
    </row>
    <row r="48">
      <c r="A48" s="46" t="inlineStr">
        <is>
          <t>IT-3011677</t>
        </is>
      </c>
      <c r="B48" s="46" t="inlineStr">
        <is>
          <t>IT-3011677</t>
        </is>
      </c>
      <c r="C48" s="46" t="inlineStr"/>
      <c r="D48" s="47" t="inlineStr">
        <is>
          <t>Please confirm if RCA Engineering is receiving and ingesting the SIU Weekly Provider Report Geisinger sends us via SFTP that is an exclusion file for our teams.</t>
        </is>
      </c>
      <c r="E48" s="47"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F48" s="47"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G48" s="47" t="inlineStr">
        <is>
          <t>Provided the requestor's analysis in the comments which included comparing 4 SFTP files against files received from email</t>
        </is>
      </c>
      <c r="H48" s="46" t="inlineStr">
        <is>
          <t>Other</t>
        </is>
      </c>
      <c r="I48" s="46" t="inlineStr">
        <is>
          <t>Other</t>
        </is>
      </c>
      <c r="J48" s="46" t="inlineStr"/>
      <c r="K48" s="46" t="inlineStr">
        <is>
          <t>Closed</t>
        </is>
      </c>
      <c r="L48" s="46" t="inlineStr">
        <is>
          <t>2026-04-24</t>
        </is>
      </c>
      <c r="M48" s="46" t="inlineStr">
        <is>
          <t>2026-05-01</t>
        </is>
      </c>
      <c r="N48" s="46" t="inlineStr">
        <is>
          <t>Nile Production Support</t>
        </is>
      </c>
      <c r="O48" s="46" t="inlineStr">
        <is>
          <t>Unassigned</t>
        </is>
      </c>
      <c r="P48" s="46" t="inlineStr">
        <is>
          <t>Depolo, Kara</t>
        </is>
      </c>
      <c r="Q48" s="46" t="inlineStr">
        <is>
          <t>Resolved</t>
        </is>
      </c>
      <c r="R48" s="47"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S48" s="46" t="inlineStr"/>
      <c r="T48" s="46" t="inlineStr"/>
      <c r="U48" s="46" t="inlineStr"/>
      <c r="V48" s="57" t="inlineStr">
        <is>
          <t>Other</t>
        </is>
      </c>
      <c r="W48" s="46" t="inlineStr">
        <is>
          <t>Yes</t>
        </is>
      </c>
    </row>
    <row r="49">
      <c r="A49" s="43" t="inlineStr">
        <is>
          <t>IT-3011541</t>
        </is>
      </c>
      <c r="B49" s="43" t="inlineStr">
        <is>
          <t>IT-3011541</t>
        </is>
      </c>
      <c r="C49" s="43" t="inlineStr"/>
      <c r="D49" s="44" t="inlineStr">
        <is>
          <t>Please help ingest 4/13's UHC Cirrus file</t>
        </is>
      </c>
      <c r="E49" s="44" t="inlineStr">
        <is>
          <t>Hello team we received Cirrus weekly files on 4/13, would you please help reingest all the files? a little background: the file was arrived on time, but we have to hold off on loading them, because the 4/6’s file ingestion was not completed yet, and now 4/6 process has finally completed, we need to start ingest 4/13’s file. This is a very time sensitive request, we will need your help to get the file successfully ingested today. Thanks and please let me know if you need additional info.</t>
        </is>
      </c>
      <c r="F49" s="44" t="inlineStr">
        <is>
          <t>4/13 ingestion is complete. closing out ticket</t>
        </is>
      </c>
      <c r="G49" s="44" t="inlineStr">
        <is>
          <t>4/13 ingestion is complete. closing out ticket</t>
        </is>
      </c>
      <c r="H49" s="43" t="inlineStr">
        <is>
          <t>Other</t>
        </is>
      </c>
      <c r="I49" s="43" t="inlineStr">
        <is>
          <t>Other</t>
        </is>
      </c>
      <c r="J49" s="43" t="inlineStr"/>
      <c r="K49" s="43" t="inlineStr">
        <is>
          <t>Closed</t>
        </is>
      </c>
      <c r="L49" s="43" t="inlineStr">
        <is>
          <t>2026-04-24</t>
        </is>
      </c>
      <c r="M49" s="43" t="inlineStr">
        <is>
          <t>2026-04-24</t>
        </is>
      </c>
      <c r="N49" s="43" t="inlineStr">
        <is>
          <t>Nile Production Support</t>
        </is>
      </c>
      <c r="O49" s="43" t="inlineStr">
        <is>
          <t>Unassigned</t>
        </is>
      </c>
      <c r="P49" s="43" t="inlineStr">
        <is>
          <t>Tang, Chao</t>
        </is>
      </c>
      <c r="Q49" s="43" t="inlineStr">
        <is>
          <t>Resolved</t>
        </is>
      </c>
      <c r="R49" s="44" t="inlineStr">
        <is>
          <t>4/13 ingestion is complete. closing out ticket</t>
        </is>
      </c>
      <c r="S49" s="43" t="inlineStr"/>
      <c r="T49" s="43" t="inlineStr"/>
      <c r="U49" s="43" t="inlineStr"/>
      <c r="V49" s="53" t="inlineStr">
        <is>
          <t>File Issue</t>
        </is>
      </c>
      <c r="W49" s="43" t="inlineStr"/>
    </row>
    <row r="50">
      <c r="A50" s="46" t="inlineStr">
        <is>
          <t>IT-3011476</t>
        </is>
      </c>
      <c r="B50" s="46" t="inlineStr">
        <is>
          <t>IT-3011476</t>
        </is>
      </c>
      <c r="C50" s="46" t="inlineStr"/>
      <c r="D50" s="47" t="inlineStr">
        <is>
          <t>Unmatched gdf_member_enrollment raw data count - 20260422_1 - prod - fwa-BCBSND-OSCAR_member_GDF2_3</t>
        </is>
      </c>
      <c r="E50" s="47" t="inlineStr">
        <is>
          <t>Pipeline fwa-BCBSND-OSCAR_member_GDF2_3 has failed due to unmatched records. Email Ref: Unmatched gdf_member_enrollment raw data count - 20260422_1 - prod - fwa-BCBSND-OSCAR_member_GDF2_3 Please investigate.</t>
        </is>
      </c>
      <c r="F50" s="47" t="inlineStr">
        <is>
          <t>Due to rejected records. So added override and running the pipeline Not Sure why pipeline is in Draft mode can we publish and schedule the pipeline?? pipeline completed</t>
        </is>
      </c>
      <c r="G50" s="47" t="inlineStr">
        <is>
          <t>pipeline completed</t>
        </is>
      </c>
      <c r="H50" s="46" t="inlineStr">
        <is>
          <t>Other</t>
        </is>
      </c>
      <c r="I50" s="46" t="inlineStr">
        <is>
          <t>Other</t>
        </is>
      </c>
      <c r="J50" s="46" t="inlineStr"/>
      <c r="K50" s="46" t="inlineStr">
        <is>
          <t>Closed</t>
        </is>
      </c>
      <c r="L50" s="46" t="inlineStr">
        <is>
          <t>2026-04-24</t>
        </is>
      </c>
      <c r="M50" s="46" t="inlineStr">
        <is>
          <t>2026-04-24</t>
        </is>
      </c>
      <c r="N50" s="46" t="inlineStr">
        <is>
          <t>Nile Production Support</t>
        </is>
      </c>
      <c r="O50" s="46" t="inlineStr">
        <is>
          <t>Unassigned</t>
        </is>
      </c>
      <c r="P50" s="46" t="inlineStr">
        <is>
          <t>Acharya, Suraj</t>
        </is>
      </c>
      <c r="Q50" s="46" t="inlineStr">
        <is>
          <t>Resolved</t>
        </is>
      </c>
      <c r="R50" s="47" t="inlineStr">
        <is>
          <t>Due to rejected records. So added override and running the pipeline Not Sure why pipeline is in Draft mode can we publish and schedule the pipeline?? pipeline completed</t>
        </is>
      </c>
      <c r="S50" s="46" t="inlineStr"/>
      <c r="T50" s="46" t="inlineStr"/>
      <c r="U50" s="46" t="inlineStr"/>
      <c r="V50" s="52" t="inlineStr">
        <is>
          <t>Pipeline Schedule</t>
        </is>
      </c>
      <c r="W50" s="46" t="inlineStr"/>
    </row>
    <row r="51">
      <c r="A51" s="43" t="inlineStr">
        <is>
          <t>IT-3010303</t>
        </is>
      </c>
      <c r="B51" s="43" t="inlineStr">
        <is>
          <t>IT-3010303</t>
        </is>
      </c>
      <c r="C51" s="43" t="inlineStr"/>
      <c r="D51" s="44" t="inlineStr">
        <is>
          <t>HCSC_BackFill_Set_2_files process.</t>
        </is>
      </c>
      <c r="E51" s="44" t="inlineStr"/>
      <c r="F51" s="44"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G51" s="44" t="inlineStr">
        <is>
          <t>Second set of files proceed from the Nile side.</t>
        </is>
      </c>
      <c r="H51" s="43" t="inlineStr">
        <is>
          <t>Other</t>
        </is>
      </c>
      <c r="I51" s="43" t="inlineStr">
        <is>
          <t>Other</t>
        </is>
      </c>
      <c r="J51" s="43" t="inlineStr"/>
      <c r="K51" s="43" t="inlineStr">
        <is>
          <t>Closed</t>
        </is>
      </c>
      <c r="L51" s="43" t="inlineStr">
        <is>
          <t>2026-04-24</t>
        </is>
      </c>
      <c r="M51" s="43" t="inlineStr">
        <is>
          <t>2026-04-28</t>
        </is>
      </c>
      <c r="N51" s="43" t="inlineStr">
        <is>
          <t>Nile Production Support</t>
        </is>
      </c>
      <c r="O51" s="43" t="inlineStr">
        <is>
          <t>Unassigned</t>
        </is>
      </c>
      <c r="P51" s="43" t="inlineStr">
        <is>
          <t>Kantimahanti, Ravisankar</t>
        </is>
      </c>
      <c r="Q51" s="43" t="inlineStr">
        <is>
          <t>Done</t>
        </is>
      </c>
      <c r="R51" s="44"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S51" s="43" t="inlineStr"/>
      <c r="T51" s="43" t="inlineStr"/>
      <c r="U51" s="43" t="inlineStr"/>
      <c r="V51" s="56" t="inlineStr">
        <is>
          <t>Spooler issue</t>
        </is>
      </c>
      <c r="W51" s="43" t="inlineStr"/>
    </row>
    <row r="52">
      <c r="A52" s="46" t="inlineStr">
        <is>
          <t>IT-3009815</t>
        </is>
      </c>
      <c r="B52" s="46" t="inlineStr">
        <is>
          <t>IT-3009815</t>
        </is>
      </c>
      <c r="C52" s="46" t="inlineStr"/>
      <c r="D52" s="47" t="inlineStr">
        <is>
          <t>Centene PCCV MI MCD Expansion Prod Transition Documents Review</t>
        </is>
      </c>
      <c r="E52" s="47" t="inlineStr">
        <is>
          <t>Please review the prod transition checklist documents for Centene PCCV MI MCD Expansion and let us know if any changes are needed. Creating this ticket as a placeholder. Will update ticket with document links once complete.</t>
        </is>
      </c>
      <c r="F52" s="47" t="inlineStr">
        <is>
          <t>Awaiting documents.</t>
        </is>
      </c>
      <c r="G52" s="47" t="inlineStr"/>
      <c r="H52" s="46" t="inlineStr">
        <is>
          <t>Other</t>
        </is>
      </c>
      <c r="I52" s="46" t="inlineStr">
        <is>
          <t>Other</t>
        </is>
      </c>
      <c r="J52" s="46" t="inlineStr"/>
      <c r="K52" s="46" t="inlineStr">
        <is>
          <t>On Hold</t>
        </is>
      </c>
      <c r="L52" s="46" t="inlineStr">
        <is>
          <t>2026-04-23</t>
        </is>
      </c>
      <c r="M52" s="46" t="inlineStr">
        <is>
          <t>2026-05-05</t>
        </is>
      </c>
      <c r="N52" s="46" t="inlineStr">
        <is>
          <t>Nile Production Support</t>
        </is>
      </c>
      <c r="O52" s="46" t="inlineStr">
        <is>
          <t>Unassigned</t>
        </is>
      </c>
      <c r="P52" s="46" t="inlineStr">
        <is>
          <t>Malmgren, Natalie</t>
        </is>
      </c>
      <c r="Q52" s="46" t="inlineStr">
        <is>
          <t>Unresolved</t>
        </is>
      </c>
      <c r="R52" s="47" t="inlineStr">
        <is>
          <t>Awaiting documents.</t>
        </is>
      </c>
      <c r="S52" s="46" t="inlineStr"/>
      <c r="T52" s="46" t="inlineStr"/>
      <c r="U52" s="46" t="inlineStr"/>
      <c r="V52" s="57" t="inlineStr">
        <is>
          <t>Other</t>
        </is>
      </c>
      <c r="W52" s="46" t="inlineStr">
        <is>
          <t>Yes</t>
        </is>
      </c>
    </row>
    <row r="53">
      <c r="A53" s="43" t="inlineStr">
        <is>
          <t>IT-3009664</t>
        </is>
      </c>
      <c r="B53" s="43" t="inlineStr">
        <is>
          <t>IT-3009664</t>
        </is>
      </c>
      <c r="C53" s="43" t="inlineStr"/>
      <c r="D53" s="44" t="inlineStr">
        <is>
          <t>Clarification on Premera History Files for Data Date 2026/04/06</t>
        </is>
      </c>
      <c r="E53" s="44"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F53" s="44"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G53" s="44" t="inlineStr">
        <is>
          <t>Replacement from client on 5/1/2026 processed successfully</t>
        </is>
      </c>
      <c r="H53" s="43" t="inlineStr">
        <is>
          <t>Other</t>
        </is>
      </c>
      <c r="I53" s="43" t="inlineStr">
        <is>
          <t>Other</t>
        </is>
      </c>
      <c r="J53" s="43" t="inlineStr"/>
      <c r="K53" s="43" t="inlineStr">
        <is>
          <t>Closed</t>
        </is>
      </c>
      <c r="L53" s="43" t="inlineStr">
        <is>
          <t>2026-04-23</t>
        </is>
      </c>
      <c r="M53" s="43" t="inlineStr">
        <is>
          <t>2026-05-04</t>
        </is>
      </c>
      <c r="N53" s="43" t="inlineStr">
        <is>
          <t>Nile Production Support</t>
        </is>
      </c>
      <c r="O53" s="43" t="inlineStr">
        <is>
          <t>Unassigned</t>
        </is>
      </c>
      <c r="P53" s="43" t="inlineStr">
        <is>
          <t>Spinelli, Adam</t>
        </is>
      </c>
      <c r="Q53" s="43" t="inlineStr">
        <is>
          <t>Resolved</t>
        </is>
      </c>
      <c r="R53" s="44"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S53" s="43" t="inlineStr"/>
      <c r="T53" s="43" t="inlineStr"/>
      <c r="U53" s="43" t="inlineStr"/>
      <c r="V53" s="59" t="inlineStr">
        <is>
          <t>Issue Platform</t>
        </is>
      </c>
      <c r="W53" s="43" t="inlineStr"/>
    </row>
    <row r="54">
      <c r="A54" s="46" t="inlineStr">
        <is>
          <t>IT-3009644</t>
        </is>
      </c>
      <c r="B54" s="46" t="inlineStr">
        <is>
          <t>IT-3009644</t>
        </is>
      </c>
      <c r="C54" s="46" t="inlineStr"/>
      <c r="D54" s="47" t="inlineStr">
        <is>
          <t>Premera - Automated Ack File Appealed Line Sequence Length Clarification</t>
        </is>
      </c>
      <c r="E54" s="47" t="inlineStr">
        <is>
          <t>I received the below question from Premera, and was hoping to get some help with the questions highlighted. Thanks! We received an ack file last week (PREBC_appeals_ack_20260417085524) that contained Appealed Line Sequence of 79 characters , while prior guidance indicated a 50‑character maximum . Our system enforced the 50‑character limit, causing processing to fail. We’ve temporarily increased our limit to 255 , but could you please confirm: · Why this field exceeded 50 characters? · What is the expected maximum length going forward?</t>
        </is>
      </c>
      <c r="F54" s="47"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G54" s="47" t="inlineStr"/>
      <c r="H54" s="46" t="inlineStr">
        <is>
          <t>Other</t>
        </is>
      </c>
      <c r="I54" s="46" t="inlineStr">
        <is>
          <t>Other</t>
        </is>
      </c>
      <c r="J54" s="46" t="inlineStr"/>
      <c r="K54" s="46" t="inlineStr">
        <is>
          <t>On Hold</t>
        </is>
      </c>
      <c r="L54" s="46" t="inlineStr">
        <is>
          <t>2026-04-23</t>
        </is>
      </c>
      <c r="M54" s="46" t="inlineStr">
        <is>
          <t>2026-04-29</t>
        </is>
      </c>
      <c r="N54" s="46" t="inlineStr">
        <is>
          <t>Nile Production Support</t>
        </is>
      </c>
      <c r="O54" s="46" t="inlineStr">
        <is>
          <t>Unassigned</t>
        </is>
      </c>
      <c r="P54" s="46" t="inlineStr">
        <is>
          <t>Spinelli, Adam</t>
        </is>
      </c>
      <c r="Q54" s="46" t="inlineStr">
        <is>
          <t>Unresolved</t>
        </is>
      </c>
      <c r="R54" s="47"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S54" s="46" t="inlineStr"/>
      <c r="T54" s="46" t="inlineStr"/>
      <c r="U54" s="46" t="inlineStr"/>
      <c r="V54" s="63" t="inlineStr">
        <is>
          <t>Schema issue</t>
        </is>
      </c>
      <c r="W54" s="46" t="inlineStr"/>
    </row>
    <row r="55">
      <c r="A55" s="43" t="inlineStr">
        <is>
          <t>IT-3009150</t>
        </is>
      </c>
      <c r="B55" s="43" t="inlineStr">
        <is>
          <t>IT-3009150</t>
        </is>
      </c>
      <c r="C55" s="43" t="inlineStr"/>
      <c r="D55" s="44" t="inlineStr">
        <is>
          <t>CareFirst Missing History</t>
        </is>
      </c>
      <c r="E55" s="44" t="inlineStr">
        <is>
          <t>CareFirst is reporting that they have 800+ claims that we have invoiced for missing history. CareFirst claims to have sent the claims via History. I have run a few failed claims line reports and I do not see any reason why these would not have processed. CareFirst has confirmed these are all Outpatient claims and the CLCL_Paid_DT field represents the date they sent us the History file. I have attached the report of all claims they were invoiced for as it relates to missing history. The goal of this inquiry is to ensure we received the files, which I am attaching two raw data files. And also if we did receive why did they not process and how can we track any possible file/line failures in the future? The reason this is a concern is that CareFirst is billed for any unreturned history after 180 days. In order to avoid any unnecessary fees, CareFirst would like the opportunity to resolve any missing or failed history prior to the 180 days. Original Email: Subject: RE: Claims Hist Feed&gt;Follow-up From: Thachapilly, Abhilash Abhilash.Thachapilly@carefirst.com To: Snyder, Amery amery.snyder@cotiviti.com CC: Saubhagya.Sarangi@carefirst.com ; McDonald, Christina Christina.McDonald@carefirst.com ; Vinay.Kommera@carefirst.com ; lauren.nunez Lauren.Nunez@carefirst.com ; jenn.livengood Jenn.Livengood@carefirst.com ; jeff.rose@carefirst.com Jeff.Rose@carefirst.com ; Jefferson, Jaclyn Jaclyn.Jefferson@carefirst.com ; Boddu, Srikanth Srikanth.Boddu@carefirst.com Mon 4/13/2026 12:21 PM Good morning Amery! Can you check with team to see why below claims were not loaded to coti history tables? There are almost 800+ claims Invoce team reported as missing paid feed. If Cotiviti runs an error report, we can identify the root cause of the fallouts Attached is the list of all claims reported as missing paid feed. But for an initial analysis below sample from Jul2025 are enough. CLCL_ID CLCL_PAID_DT G18260513300 08-JUL-25 12.00.00.000000000 AM G18816254600 08-JUL-25 12.00.00.000000000 AM G18270181100 08-JUL-25 12.00.00.000000000 AM G18270259300 08-JUL-25 12.00.00.000000000 AM G18270841900 08-JUL-25 12.00.00.000000000 AM G1831A221500 08-JUL-25 12.00.00.000000000 AM G18360231100 08-JUL-25 12.00.00.000000000 AM G18411004200 08-JUL-25 12.00.00.000000000 AM G18411297200 08-JUL-25 12.00.00.000000000 AM G18411863000 08-JUL-25 12.00.00.000000000 AM G18518104000 09-JUL-25 12.00.00.000000000 AM G18813430000 09-JUL-25 12.00.00.000000000 AM G18813811100 09-JUL-25 12.00.00.000000000 AM G18814006500 09-JUL-25 12.00.00.000000000 AM G18814355000 09-JUL-25 12.00.00.000000000 AM G18814363700 09-JUL-25 12.00.00.000000000 AM G18817245400 09-JUL-25 12.00.00.000000000 AM G1881A528200 09-JUL-25 12.00.00.000000000 AM G18910125700 09-JUL-25 12.00.00.000000000 AM G18910994200 09-JUL-25 12.00.00.000000000 AM G18911901800 09-JUL-25 12.00.00.000000000 AM Thanks and regards, Abhilash</t>
        </is>
      </c>
      <c r="F55" s="44"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G55" s="44" t="inlineStr"/>
      <c r="H55" s="43" t="inlineStr">
        <is>
          <t>Other</t>
        </is>
      </c>
      <c r="I55" s="43" t="inlineStr">
        <is>
          <t>Other</t>
        </is>
      </c>
      <c r="J55" s="43" t="inlineStr"/>
      <c r="K55" s="43" t="inlineStr">
        <is>
          <t>In Progress (HD1)</t>
        </is>
      </c>
      <c r="L55" s="43" t="inlineStr">
        <is>
          <t>2026-04-23</t>
        </is>
      </c>
      <c r="M55" s="43" t="inlineStr">
        <is>
          <t>2026-04-29</t>
        </is>
      </c>
      <c r="N55" s="43" t="inlineStr">
        <is>
          <t>Nile Production Support</t>
        </is>
      </c>
      <c r="O55" s="43" t="inlineStr">
        <is>
          <t>Unassigned</t>
        </is>
      </c>
      <c r="P55" s="43" t="inlineStr">
        <is>
          <t>Snyder, Amery</t>
        </is>
      </c>
      <c r="Q55" s="43" t="inlineStr">
        <is>
          <t>Unresolved</t>
        </is>
      </c>
      <c r="R55" s="44"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S55" s="43" t="inlineStr"/>
      <c r="T55" s="43" t="inlineStr"/>
      <c r="U55" s="43" t="inlineStr"/>
      <c r="V55" s="64" t="inlineStr">
        <is>
          <t>File Missing</t>
        </is>
      </c>
      <c r="W55" s="43" t="inlineStr"/>
    </row>
    <row r="56">
      <c r="A56" s="46" t="inlineStr">
        <is>
          <t>IT-3008418</t>
        </is>
      </c>
      <c r="B56" s="46" t="inlineStr">
        <is>
          <t>IT-3008418</t>
        </is>
      </c>
      <c r="C56" s="46" t="inlineStr"/>
      <c r="D56" s="47" t="inlineStr">
        <is>
          <t>Monthly uhc - cosmos pipeline failed for 2026/04</t>
        </is>
      </c>
      <c r="E56" s="47" t="inlineStr">
        <is>
          <t>Pipeline name: dm-uhc-cosmos-actian_migration_dscnttype dm-uhc-cosmos-actian_migration_HcccCd</t>
        </is>
      </c>
      <c r="F56" s="47" t="inlineStr"/>
      <c r="G56" s="47" t="inlineStr"/>
      <c r="H56" s="46" t="inlineStr">
        <is>
          <t>Other</t>
        </is>
      </c>
      <c r="I56" s="46" t="inlineStr">
        <is>
          <t>Other</t>
        </is>
      </c>
      <c r="J56" s="46" t="inlineStr"/>
      <c r="K56" s="46" t="inlineStr">
        <is>
          <t>Open</t>
        </is>
      </c>
      <c r="L56" s="46" t="inlineStr">
        <is>
          <t>2026-04-23</t>
        </is>
      </c>
      <c r="M56" s="46" t="inlineStr">
        <is>
          <t>2026-04-23</t>
        </is>
      </c>
      <c r="N56" s="46" t="inlineStr">
        <is>
          <t>Nile Production Support</t>
        </is>
      </c>
      <c r="O56" s="46" t="inlineStr">
        <is>
          <t>Unassigned</t>
        </is>
      </c>
      <c r="P56" s="46" t="inlineStr">
        <is>
          <t>Limbu, Sajan</t>
        </is>
      </c>
      <c r="Q56" s="46" t="inlineStr">
        <is>
          <t>Unresolved</t>
        </is>
      </c>
      <c r="R56" s="47" t="inlineStr"/>
      <c r="S56" s="46" t="inlineStr"/>
      <c r="T56" s="46" t="inlineStr"/>
      <c r="U56" s="46" t="inlineStr"/>
      <c r="V56" s="52" t="inlineStr">
        <is>
          <t>Pipeline Schedule</t>
        </is>
      </c>
      <c r="W56" s="46" t="inlineStr"/>
    </row>
    <row r="57">
      <c r="A57" s="43" t="inlineStr">
        <is>
          <t>IT-3008305</t>
        </is>
      </c>
      <c r="B57" s="43" t="inlineStr">
        <is>
          <t>IT-3008305</t>
        </is>
      </c>
      <c r="C57" s="43" t="inlineStr"/>
      <c r="D57" s="44" t="inlineStr">
        <is>
          <t>Update the tracker with the newly deployed History and TBA Lean Ingestion pipelines for Oscar-Homegrown that are now live in production.</t>
        </is>
      </c>
      <c r="E57" s="44"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F57" s="44" t="inlineStr"/>
      <c r="G57" s="44" t="inlineStr">
        <is>
          <t>Details recorded accordingly.</t>
        </is>
      </c>
      <c r="H57" s="43" t="inlineStr">
        <is>
          <t>Other</t>
        </is>
      </c>
      <c r="I57" s="43" t="inlineStr">
        <is>
          <t>Other</t>
        </is>
      </c>
      <c r="J57" s="43" t="inlineStr"/>
      <c r="K57" s="43" t="inlineStr">
        <is>
          <t>Closed</t>
        </is>
      </c>
      <c r="L57" s="43" t="inlineStr">
        <is>
          <t>2026-04-23</t>
        </is>
      </c>
      <c r="M57" s="43" t="inlineStr">
        <is>
          <t>2026-04-29</t>
        </is>
      </c>
      <c r="N57" s="43" t="inlineStr">
        <is>
          <t>Nile Production Support</t>
        </is>
      </c>
      <c r="O57" s="43" t="inlineStr">
        <is>
          <t>Unassigned</t>
        </is>
      </c>
      <c r="P57" s="43" t="inlineStr">
        <is>
          <t>Karakavalasa, SriVarshini</t>
        </is>
      </c>
      <c r="Q57" s="43" t="inlineStr">
        <is>
          <t>Resolved</t>
        </is>
      </c>
      <c r="R57" s="44" t="inlineStr"/>
      <c r="S57" s="43" t="inlineStr"/>
      <c r="T57" s="43" t="inlineStr"/>
      <c r="U57" s="43" t="inlineStr"/>
      <c r="V57" s="58" t="inlineStr">
        <is>
          <t>Other</t>
        </is>
      </c>
      <c r="W57" s="43" t="inlineStr">
        <is>
          <t>Yes</t>
        </is>
      </c>
    </row>
    <row r="58">
      <c r="A58" s="46" t="inlineStr">
        <is>
          <t>IT-3008084</t>
        </is>
      </c>
      <c r="B58" s="46" t="inlineStr">
        <is>
          <t>IT-3008084</t>
        </is>
      </c>
      <c r="C58" s="46" t="inlineStr"/>
      <c r="D58" s="47" t="inlineStr">
        <is>
          <t>Peer Review for Aetna-Trad-SCM BMC pipeline Optimization</t>
        </is>
      </c>
      <c r="E58" s="47"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58" s="47" t="inlineStr">
        <is>
          <t>Hi Kamsetty, Sravani , Verified that all child pipelines have been published successfully.</t>
        </is>
      </c>
      <c r="G58" s="47" t="inlineStr">
        <is>
          <t>Verified that all child pipelines are published, ensuring the latest versions are used when running the BMC pipelines.</t>
        </is>
      </c>
      <c r="H58" s="46" t="inlineStr">
        <is>
          <t>Other</t>
        </is>
      </c>
      <c r="I58" s="46" t="inlineStr">
        <is>
          <t>Other</t>
        </is>
      </c>
      <c r="J58" s="46" t="inlineStr"/>
      <c r="K58" s="46" t="inlineStr">
        <is>
          <t>Closed</t>
        </is>
      </c>
      <c r="L58" s="46" t="inlineStr">
        <is>
          <t>2026-04-23</t>
        </is>
      </c>
      <c r="M58" s="46" t="inlineStr">
        <is>
          <t>2026-04-24</t>
        </is>
      </c>
      <c r="N58" s="46" t="inlineStr">
        <is>
          <t>Nile Production Support</t>
        </is>
      </c>
      <c r="O58" s="46" t="inlineStr">
        <is>
          <t>Unassigned</t>
        </is>
      </c>
      <c r="P58" s="46" t="inlineStr">
        <is>
          <t>Kamsetty, Sravani</t>
        </is>
      </c>
      <c r="Q58" s="46" t="inlineStr">
        <is>
          <t>Done</t>
        </is>
      </c>
      <c r="R58" s="47" t="inlineStr">
        <is>
          <t>Hi Kamsetty, Sravani , Verified that all child pipelines have been published successfully.</t>
        </is>
      </c>
      <c r="S58" s="46" t="inlineStr"/>
      <c r="T58" s="46" t="inlineStr"/>
      <c r="U58" s="46" t="inlineStr"/>
      <c r="V58" s="54" t="inlineStr">
        <is>
          <t>Configuration Issue</t>
        </is>
      </c>
      <c r="W58" s="46" t="inlineStr"/>
    </row>
    <row r="59">
      <c r="A59" s="43" t="inlineStr">
        <is>
          <t>IT-3007910</t>
        </is>
      </c>
      <c r="B59" s="43" t="inlineStr">
        <is>
          <t>IT-3007910</t>
        </is>
      </c>
      <c r="C59" s="43" t="inlineStr"/>
      <c r="D59" s="44" t="inlineStr">
        <is>
          <t>WellCare RCA ARK Client Transition.</t>
        </is>
      </c>
      <c r="E59" s="44" t="inlineStr">
        <is>
          <t>WellCare RCA ARK Client Transition.</t>
        </is>
      </c>
      <c r="F59" s="44" t="inlineStr"/>
      <c r="G59" s="44" t="inlineStr">
        <is>
          <t>Transition Completed successfully.</t>
        </is>
      </c>
      <c r="H59" s="43" t="inlineStr">
        <is>
          <t>Other</t>
        </is>
      </c>
      <c r="I59" s="43" t="inlineStr">
        <is>
          <t>Other</t>
        </is>
      </c>
      <c r="J59" s="43" t="inlineStr"/>
      <c r="K59" s="43" t="inlineStr">
        <is>
          <t>Closed</t>
        </is>
      </c>
      <c r="L59" s="43" t="inlineStr">
        <is>
          <t>2026-04-23</t>
        </is>
      </c>
      <c r="M59" s="43" t="inlineStr">
        <is>
          <t>2026-04-23</t>
        </is>
      </c>
      <c r="N59" s="43" t="inlineStr">
        <is>
          <t>Nile Production Support</t>
        </is>
      </c>
      <c r="O59" s="43" t="inlineStr">
        <is>
          <t>Unassigned</t>
        </is>
      </c>
      <c r="P59" s="43" t="inlineStr">
        <is>
          <t>Jani, Shaik</t>
        </is>
      </c>
      <c r="Q59" s="43" t="inlineStr">
        <is>
          <t>Resolved</t>
        </is>
      </c>
      <c r="R59" s="44" t="inlineStr"/>
      <c r="S59" s="43" t="inlineStr"/>
      <c r="T59" s="43" t="inlineStr"/>
      <c r="U59" s="43" t="inlineStr"/>
      <c r="V59" s="58" t="inlineStr">
        <is>
          <t>Other</t>
        </is>
      </c>
      <c r="W59" s="43" t="inlineStr">
        <is>
          <t>Yes</t>
        </is>
      </c>
    </row>
    <row r="60">
      <c r="A60" s="46" t="inlineStr">
        <is>
          <t>IT-3007255</t>
        </is>
      </c>
      <c r="B60" s="46" t="inlineStr">
        <is>
          <t>IT-3007255</t>
        </is>
      </c>
      <c r="C60" s="46" t="inlineStr"/>
      <c r="D60" s="47" t="inlineStr">
        <is>
          <t>Copy 2 Aetna Trad files from dataingestionprod/ to dataingestiondev/</t>
        </is>
      </c>
      <c r="E60" s="47" t="inlineStr">
        <is>
          <t>Hello, I would like to copy 2 files from dataingestionprod/ to dataingestiondev/ in HDFS. Server is nile prod. Please see attached for files and copy destinations. Ping me with any questions. Thank you.</t>
        </is>
      </c>
      <c r="F60" s="47" t="inlineStr">
        <is>
          <t>Data request - monthly Provider and Member files - Aenta Trad.xlsx (11 kB) Hi Maguire, Patrick Files copied please verify Thanks</t>
        </is>
      </c>
      <c r="G60" s="47" t="inlineStr">
        <is>
          <t>Files Copied</t>
        </is>
      </c>
      <c r="H60" s="46" t="inlineStr">
        <is>
          <t>Other</t>
        </is>
      </c>
      <c r="I60" s="46" t="inlineStr">
        <is>
          <t>Other</t>
        </is>
      </c>
      <c r="J60" s="46" t="inlineStr"/>
      <c r="K60" s="46" t="inlineStr">
        <is>
          <t>Closed</t>
        </is>
      </c>
      <c r="L60" s="46" t="inlineStr">
        <is>
          <t>2026-04-22</t>
        </is>
      </c>
      <c r="M60" s="46" t="inlineStr">
        <is>
          <t>2026-04-23</t>
        </is>
      </c>
      <c r="N60" s="46" t="inlineStr">
        <is>
          <t>Nile Production Support</t>
        </is>
      </c>
      <c r="O60" s="46" t="inlineStr">
        <is>
          <t>Unassigned</t>
        </is>
      </c>
      <c r="P60" s="46" t="inlineStr">
        <is>
          <t>Maguire, Patrick</t>
        </is>
      </c>
      <c r="Q60" s="46" t="inlineStr">
        <is>
          <t>Resolved</t>
        </is>
      </c>
      <c r="R60" s="47" t="inlineStr">
        <is>
          <t>Data request - monthly Provider and Member files - Aenta Trad.xlsx (11 kB) Hi Maguire, Patrick Files copied please verify Thanks</t>
        </is>
      </c>
      <c r="S60" s="46" t="inlineStr"/>
      <c r="T60" s="46" t="inlineStr"/>
      <c r="U60" s="46" t="inlineStr"/>
      <c r="V60" s="57" t="inlineStr">
        <is>
          <t>Other</t>
        </is>
      </c>
      <c r="W60" s="46" t="inlineStr">
        <is>
          <t>Yes</t>
        </is>
      </c>
    </row>
    <row r="61">
      <c r="A61" s="43" t="inlineStr">
        <is>
          <t>IT-3005937</t>
        </is>
      </c>
      <c r="B61" s="43" t="inlineStr">
        <is>
          <t>IT-3005937</t>
        </is>
      </c>
      <c r="C61" s="43" t="inlineStr"/>
      <c r="D61" s="44" t="inlineStr">
        <is>
          <t>Please add these two pipelines in the tracking sheet..</t>
        </is>
      </c>
      <c r="E61" s="44"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F61" s="44" t="inlineStr"/>
      <c r="G61" s="44" t="inlineStr">
        <is>
          <t>Updated the details in tracker.</t>
        </is>
      </c>
      <c r="H61" s="43" t="inlineStr">
        <is>
          <t>Other</t>
        </is>
      </c>
      <c r="I61" s="43" t="inlineStr">
        <is>
          <t>Other</t>
        </is>
      </c>
      <c r="J61" s="43" t="inlineStr"/>
      <c r="K61" s="43" t="inlineStr">
        <is>
          <t>Closed</t>
        </is>
      </c>
      <c r="L61" s="43" t="inlineStr">
        <is>
          <t>2026-04-22</t>
        </is>
      </c>
      <c r="M61" s="43" t="inlineStr">
        <is>
          <t>2026-04-23</t>
        </is>
      </c>
      <c r="N61" s="43" t="inlineStr">
        <is>
          <t>Nile Production Support</t>
        </is>
      </c>
      <c r="O61" s="43" t="inlineStr">
        <is>
          <t>Unassigned</t>
        </is>
      </c>
      <c r="P61" s="43" t="inlineStr">
        <is>
          <t>Suryani, Melly</t>
        </is>
      </c>
      <c r="Q61" s="43" t="inlineStr">
        <is>
          <t>Resolved</t>
        </is>
      </c>
      <c r="R61" s="44" t="inlineStr"/>
      <c r="S61" s="43" t="inlineStr"/>
      <c r="T61" s="43" t="inlineStr"/>
      <c r="U61" s="43" t="inlineStr"/>
      <c r="V61" s="58" t="inlineStr">
        <is>
          <t>Other</t>
        </is>
      </c>
      <c r="W61" s="43" t="inlineStr">
        <is>
          <t>Yes</t>
        </is>
      </c>
    </row>
    <row r="62">
      <c r="A62" s="46" t="inlineStr">
        <is>
          <t>IT-3005392</t>
        </is>
      </c>
      <c r="B62" s="46" t="inlineStr">
        <is>
          <t>IT-3005392</t>
        </is>
      </c>
      <c r="C62" s="46" t="inlineStr"/>
      <c r="D62" s="47" t="inlineStr">
        <is>
          <t>HCSC_BackFill_Set_1_files process.</t>
        </is>
      </c>
      <c r="E62" s="47" t="inlineStr"/>
      <c r="F62" s="47" t="inlineStr">
        <is>
          <t>we already proceed the set1 files and completed.</t>
        </is>
      </c>
      <c r="G62" s="47" t="inlineStr">
        <is>
          <t>we got the confirmation from the user and closed this ticket.</t>
        </is>
      </c>
      <c r="H62" s="46" t="inlineStr">
        <is>
          <t>Other</t>
        </is>
      </c>
      <c r="I62" s="46" t="inlineStr">
        <is>
          <t>Other</t>
        </is>
      </c>
      <c r="J62" s="46" t="inlineStr"/>
      <c r="K62" s="46" t="inlineStr">
        <is>
          <t>Closed</t>
        </is>
      </c>
      <c r="L62" s="46" t="inlineStr">
        <is>
          <t>2026-04-22</t>
        </is>
      </c>
      <c r="M62" s="46" t="inlineStr">
        <is>
          <t>2026-04-24</t>
        </is>
      </c>
      <c r="N62" s="46" t="inlineStr">
        <is>
          <t>Nile Production Support</t>
        </is>
      </c>
      <c r="O62" s="46" t="inlineStr">
        <is>
          <t>Unassigned</t>
        </is>
      </c>
      <c r="P62" s="46" t="inlineStr">
        <is>
          <t>Kantimahanti, Ravisankar</t>
        </is>
      </c>
      <c r="Q62" s="46" t="inlineStr">
        <is>
          <t>Done</t>
        </is>
      </c>
      <c r="R62" s="47" t="inlineStr">
        <is>
          <t>we already proceed the set1 files and completed.</t>
        </is>
      </c>
      <c r="S62" s="46" t="inlineStr"/>
      <c r="T62" s="46" t="inlineStr"/>
      <c r="U62" s="46" t="inlineStr"/>
      <c r="V62" s="57" t="inlineStr">
        <is>
          <t>Other</t>
        </is>
      </c>
      <c r="W62" s="46" t="inlineStr">
        <is>
          <t>Yes</t>
        </is>
      </c>
    </row>
    <row r="63">
      <c r="A63" s="43" t="inlineStr">
        <is>
          <t>IT-3005387</t>
        </is>
      </c>
      <c r="B63" s="43" t="inlineStr">
        <is>
          <t>IT-3005387</t>
        </is>
      </c>
      <c r="C63" s="43" t="inlineStr"/>
      <c r="D63" s="44" t="inlineStr">
        <is>
          <t>[harvardpilgrim - ohi]-Update prechecks for BMC and publish all the child pipelines.</t>
        </is>
      </c>
      <c r="E63" s="44" t="inlineStr">
        <is>
          <t>Update precheck with pipeline version as latest and remove all the unnecessary parameters from the pipeline. Publish all the child pipelines and modify subscribe BMC pipeline versions to latest.</t>
        </is>
      </c>
      <c r="F63" s="44" t="inlineStr">
        <is>
          <t>I have implemented the BMC optimization for the clients assigned to me.</t>
        </is>
      </c>
      <c r="G63" s="44" t="inlineStr">
        <is>
          <t>I have implemented the BMC optimization for the clients assigned to me.</t>
        </is>
      </c>
      <c r="H63" s="43" t="inlineStr">
        <is>
          <t>Other</t>
        </is>
      </c>
      <c r="I63" s="43" t="inlineStr">
        <is>
          <t>Other</t>
        </is>
      </c>
      <c r="J63" s="43" t="inlineStr"/>
      <c r="K63" s="43" t="inlineStr">
        <is>
          <t>Closed</t>
        </is>
      </c>
      <c r="L63" s="43" t="inlineStr">
        <is>
          <t>2026-04-22</t>
        </is>
      </c>
      <c r="M63" s="43" t="inlineStr">
        <is>
          <t>2026-05-05</t>
        </is>
      </c>
      <c r="N63" s="43" t="inlineStr">
        <is>
          <t>Nile Production Support</t>
        </is>
      </c>
      <c r="O63" s="43" t="inlineStr">
        <is>
          <t>Unassigned</t>
        </is>
      </c>
      <c r="P63" s="43" t="inlineStr">
        <is>
          <t>Kantimahanti, Ravisankar</t>
        </is>
      </c>
      <c r="Q63" s="43" t="inlineStr">
        <is>
          <t>Resolved</t>
        </is>
      </c>
      <c r="R63" s="44" t="inlineStr">
        <is>
          <t>I have implemented the BMC optimization for the clients assigned to me.</t>
        </is>
      </c>
      <c r="S63" s="43" t="inlineStr"/>
      <c r="T63" s="43" t="inlineStr"/>
      <c r="U63" s="43" t="inlineStr"/>
      <c r="V63" s="58" t="inlineStr">
        <is>
          <t>Other</t>
        </is>
      </c>
      <c r="W63" s="43" t="inlineStr">
        <is>
          <t>Yes</t>
        </is>
      </c>
    </row>
    <row r="64">
      <c r="A64" s="46" t="inlineStr">
        <is>
          <t>IT-3005308</t>
        </is>
      </c>
      <c r="B64" s="46" t="inlineStr">
        <is>
          <t>IT-3005308</t>
        </is>
      </c>
      <c r="C64" s="46" t="inlineStr"/>
      <c r="D64" s="47" t="inlineStr">
        <is>
          <t>OLA Configuration Changes and Monitoring on cigna-cghb-rca-prepay</t>
        </is>
      </c>
      <c r="E64" s="47" t="inlineStr">
        <is>
          <t>I have made configuration changes in OLA, including adding buffer time. I will monitor a few executions and confirm that the changes are working as expected.</t>
        </is>
      </c>
      <c r="F64" s="47"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G64" s="47" t="inlineStr"/>
      <c r="H64" s="46" t="inlineStr">
        <is>
          <t>Other</t>
        </is>
      </c>
      <c r="I64" s="46" t="inlineStr">
        <is>
          <t>Other</t>
        </is>
      </c>
      <c r="J64" s="46" t="inlineStr"/>
      <c r="K64" s="46" t="inlineStr">
        <is>
          <t>On Hold</t>
        </is>
      </c>
      <c r="L64" s="46" t="inlineStr">
        <is>
          <t>2026-04-22</t>
        </is>
      </c>
      <c r="M64" s="46" t="inlineStr">
        <is>
          <t>2026-05-05</t>
        </is>
      </c>
      <c r="N64" s="46" t="inlineStr">
        <is>
          <t>Nile Production Support</t>
        </is>
      </c>
      <c r="O64" s="46" t="inlineStr">
        <is>
          <t>Unassigned</t>
        </is>
      </c>
      <c r="P64" s="46" t="inlineStr">
        <is>
          <t>Bhattarai, Krishna</t>
        </is>
      </c>
      <c r="Q64" s="46" t="inlineStr">
        <is>
          <t>Unresolved</t>
        </is>
      </c>
      <c r="R64" s="47"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S64" s="46" t="inlineStr"/>
      <c r="T64" s="46" t="inlineStr"/>
      <c r="U64" s="46" t="inlineStr"/>
      <c r="V64" s="57" t="inlineStr">
        <is>
          <t>Other</t>
        </is>
      </c>
      <c r="W64" s="46" t="inlineStr">
        <is>
          <t>Yes</t>
        </is>
      </c>
    </row>
    <row r="65">
      <c r="A65" s="43" t="inlineStr">
        <is>
          <t>IT-3005302</t>
        </is>
      </c>
      <c r="B65" s="43" t="inlineStr">
        <is>
          <t>IT-3005302</t>
        </is>
      </c>
      <c r="C65" s="43" t="inlineStr"/>
      <c r="D65" s="44" t="inlineStr">
        <is>
          <t>OLA Configuration Changes and Monitoring on Securityhealth - qnxt</t>
        </is>
      </c>
      <c r="E65" s="44" t="inlineStr">
        <is>
          <t>I have made configuration changes in OLA, including adding buffer time. I will monitor a few executions and confirm that the changes are working as expected.</t>
        </is>
      </c>
      <c r="F65" s="44"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G65" s="44" t="inlineStr"/>
      <c r="H65" s="43" t="inlineStr">
        <is>
          <t>Other</t>
        </is>
      </c>
      <c r="I65" s="43" t="inlineStr">
        <is>
          <t>Other</t>
        </is>
      </c>
      <c r="J65" s="43" t="inlineStr"/>
      <c r="K65" s="43" t="inlineStr">
        <is>
          <t>On Hold</t>
        </is>
      </c>
      <c r="L65" s="43" t="inlineStr">
        <is>
          <t>2026-04-22</t>
        </is>
      </c>
      <c r="M65" s="43" t="inlineStr">
        <is>
          <t>2026-05-05</t>
        </is>
      </c>
      <c r="N65" s="43" t="inlineStr">
        <is>
          <t>Nile Production Support</t>
        </is>
      </c>
      <c r="O65" s="43" t="inlineStr">
        <is>
          <t>Unassigned</t>
        </is>
      </c>
      <c r="P65" s="43" t="inlineStr">
        <is>
          <t>Bhattarai, Krishna</t>
        </is>
      </c>
      <c r="Q65" s="43" t="inlineStr">
        <is>
          <t>Unresolved</t>
        </is>
      </c>
      <c r="R65" s="44"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S65" s="43" t="inlineStr"/>
      <c r="T65" s="43" t="inlineStr"/>
      <c r="U65" s="43" t="inlineStr"/>
      <c r="V65" s="58" t="inlineStr">
        <is>
          <t>Other</t>
        </is>
      </c>
      <c r="W65" s="43" t="inlineStr">
        <is>
          <t>Yes</t>
        </is>
      </c>
    </row>
    <row r="66">
      <c r="A66" s="46" t="inlineStr">
        <is>
          <t>IT-3005125</t>
        </is>
      </c>
      <c r="B66" s="46" t="inlineStr">
        <is>
          <t>IT-3005125</t>
        </is>
      </c>
      <c r="C66" s="46" t="inlineStr"/>
      <c r="D66" s="47" t="inlineStr">
        <is>
          <t>Daily pipeline tricm tba professional pipeline is getting failed for 2026/04/21</t>
        </is>
      </c>
      <c r="E66" s="47" t="inlineStr">
        <is>
          <t>Pipeline is picking two files where only one file is expected. It is picking up 0 byte pgp file in addition to regular file. Please investigate and help fix the issue. Pipeline name: ppm -triples-tricm-tba_professional_claims_GDF2_9_CDF2_9_Slim_Refactoring</t>
        </is>
      </c>
      <c r="F66" s="47" t="inlineStr">
        <is>
          <t>0 byte files received and blocking the ingestion, deleted the file from raw location and File processed successfully.</t>
        </is>
      </c>
      <c r="G66" s="47" t="inlineStr">
        <is>
          <t>0 byte files received and blocking the ingestion, deleted the file from raw location and File processed successfully.</t>
        </is>
      </c>
      <c r="H66" s="46" t="inlineStr">
        <is>
          <t>Other</t>
        </is>
      </c>
      <c r="I66" s="46" t="inlineStr">
        <is>
          <t>Other</t>
        </is>
      </c>
      <c r="J66" s="46" t="inlineStr"/>
      <c r="K66" s="46" t="inlineStr">
        <is>
          <t>Closed</t>
        </is>
      </c>
      <c r="L66" s="46" t="inlineStr">
        <is>
          <t>2026-04-21</t>
        </is>
      </c>
      <c r="M66" s="46" t="inlineStr">
        <is>
          <t>2026-04-22</t>
        </is>
      </c>
      <c r="N66" s="46" t="inlineStr">
        <is>
          <t>Nile Production Support</t>
        </is>
      </c>
      <c r="O66" s="46" t="inlineStr">
        <is>
          <t>Unassigned</t>
        </is>
      </c>
      <c r="P66" s="46" t="inlineStr">
        <is>
          <t>Kandel, Amik</t>
        </is>
      </c>
      <c r="Q66" s="46" t="inlineStr">
        <is>
          <t>Resolved</t>
        </is>
      </c>
      <c r="R66" s="47" t="inlineStr">
        <is>
          <t>0 byte files received and blocking the ingestion, deleted the file from raw location and File processed successfully.</t>
        </is>
      </c>
      <c r="S66" s="46" t="inlineStr"/>
      <c r="T66" s="46" t="inlineStr"/>
      <c r="U66" s="46" t="inlineStr"/>
      <c r="V66" s="52" t="inlineStr">
        <is>
          <t>Pipeline Schedule</t>
        </is>
      </c>
      <c r="W66" s="46" t="inlineStr"/>
    </row>
    <row r="67">
      <c r="A67" s="43" t="inlineStr">
        <is>
          <t>IT-3004600</t>
        </is>
      </c>
      <c r="B67" s="43" t="inlineStr">
        <is>
          <t>IT-3004600</t>
        </is>
      </c>
      <c r="C67" s="43" t="inlineStr"/>
      <c r="D67" s="44" t="inlineStr">
        <is>
          <t>TXCHP Professional Institutional/TBA &amp; History Files Failing 4/21/2026</t>
        </is>
      </c>
      <c r="E67" s="44" t="inlineStr">
        <is>
          <t>Hi Nile, TXCHP files are continuing to actively fail. Can you please check with the client as they are sending files that have already been processed in our database with the same sequence number. SEQ# 334 txchp_ophistory_incoming_1.04-21-2026_1726--&gt; txchp_daily_incoming_1.11-01-2025_1739 SEQ# 352 txchp_history_incoming_1.04-21-2026_1726--&gt; txchp_daily_incoming_1.11-08-2025_1550 SEQ# 333 txchp_history_incoming_1.04-21-2026_1640--&gt; txchp_outpatient_incoming_1.11-01-2025_1739 SEQ# 327 txchp_ophistory_incoming_1.04-21-2026_1640--&gt; txchp_outpatient_incoming_1.10-29-2025_1550 SEQ# 315 txchp_history_incoming_1.04-21-2026_1605--&gt; txchp_outpatient_incoming_1.10-25-2025_1550 SEQ# 328 txchp_history_incoming_1.04-21-2026_1600--&gt; txchp_daily_incoming_1.10-29-2025_1550 SEQ# 351 txchp_ophistory_incoming_1.04-21-2026_1600--&gt; txchp_outpatient_incoming_1.11-08-2025_1555 SEQ# 359 txchp_history_incoming_1.04-21-2026_1800--&gt; txchp_ophistory_incoming_1.11-11-2025_1830 SEQ# 357 txchp_ophistory_incoming_1.04-21-2026_1800--&gt; txchp_daily_incoming_1.11-11-2025_1550 SEQ# 363 txchp_history_incoming_1.04-21-2026_1835--&gt; txchp_outpatient_incoming_1.11-12-2025_1553 SEQ# 362 txchp_ophistory_incoming_1.04-21-2026_1840--&gt; Not loaded in DB SEQ# 321 txchp_daily_incoming_1.04-21-2026_1600--&gt; txchp_daily_incoming_1.10-28-2025_1621 SEQ# 317 txchp_daily_incoming_1.04-21-2026_1645--&gt; txchp_outpatient_incoming_1.10-26-2025_1550 SEQ# 318 txchp_outpatient_incoming_1.04-21-2026_1600--&gt; txchp_daily_incoming_1.10-26-2025_1550 SEQ#366 txchp_history_incoming_1.04-21-2026_1915--&gt; txchp_daily_incoming_1.11-13-2025_1600 SEQ# 364 txchp_ophistory_incoming_1.04-21-2026_1925--&gt; txchp_daily_incoming_1.11-12-2025_1553 SEQ#381 txchp_history_incoming_1.04-21-2026_2030--&gt; txchp_daily_incoming_1.11-19-2025_1550 SEQ#380 txchp_ophistory_incoming_1.04-21-2026_2040--&gt; Not loaded in DB</t>
        </is>
      </c>
      <c r="F67" s="44"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G67" s="44" t="inlineStr"/>
      <c r="H67" s="43" t="inlineStr">
        <is>
          <t>Other</t>
        </is>
      </c>
      <c r="I67" s="43" t="inlineStr">
        <is>
          <t>Other</t>
        </is>
      </c>
      <c r="J67" s="43" t="inlineStr"/>
      <c r="K67" s="43" t="inlineStr">
        <is>
          <t>In Progress (HD1)</t>
        </is>
      </c>
      <c r="L67" s="43" t="inlineStr">
        <is>
          <t>2026-04-21</t>
        </is>
      </c>
      <c r="M67" s="43" t="inlineStr">
        <is>
          <t>2026-05-07</t>
        </is>
      </c>
      <c r="N67" s="43" t="inlineStr">
        <is>
          <t>Nile Production Support</t>
        </is>
      </c>
      <c r="O67" s="43" t="inlineStr">
        <is>
          <t>Unassigned</t>
        </is>
      </c>
      <c r="P67" s="43" t="inlineStr">
        <is>
          <t>Daniels, Ben</t>
        </is>
      </c>
      <c r="Q67" s="43" t="inlineStr">
        <is>
          <t>Unresolved</t>
        </is>
      </c>
      <c r="R67" s="44"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S67" s="43" t="inlineStr"/>
      <c r="T67" s="43" t="inlineStr"/>
      <c r="U67" s="43" t="inlineStr"/>
      <c r="V67" s="53" t="inlineStr">
        <is>
          <t>File Issue</t>
        </is>
      </c>
      <c r="W67" s="43" t="inlineStr"/>
    </row>
    <row r="68">
      <c r="A68" s="46" t="inlineStr">
        <is>
          <t>IT-3004426</t>
        </is>
      </c>
      <c r="B68" s="46" t="inlineStr">
        <is>
          <t>IT-3004426</t>
        </is>
      </c>
      <c r="C68" s="46" t="inlineStr"/>
      <c r="D68" s="47" t="inlineStr">
        <is>
          <t>Humana PMDM File Ingestion Setup</t>
        </is>
      </c>
      <c r="E68" s="47" t="inlineStr">
        <is>
          <t>Creating ticket per Joy’s request. What is the request? Ingest PMDM files into SQL tables, What files do you need Nile to ingest and create spoolers and pipelines? What is the file name? The PMDM extract is now two CSV files compressed into a single zip named PMDM_YYYYMM.zip. When you extract the zip file, you will see the two individual files as shown below. prov_ntwk_YYYYMM prov_pymt_ctrct_dly_YYYYMM Please provide data dictionary in the ticket. The final updates to the ETL and Guide are being completed and will be sent to Cotiviti by EOW, It seems Humana posted two file patterns for Cotiviti to work on. prov_pymt_ctrct_dly_* prov_ntwk_Historical_* Are these two file patterns for Humana PMDM? How many kinds of files that we need to process for PMDM (because the dictionary said we should get PMDM_YYYYMM)? 1 , This 1 st FTP includes historical data thru March2026. The 4/9 email screenshot below details what is included in each file. These files include data from the past 18 months, along with all related contracts from previous years that fall within that 18-month period. 2, Going forward with April2026 data next month the PMDM extract will be sent with the below naming convention (2 CSV files inside the zip file - PMDM_YYYYMM). prov_ntwk_YYYYMM prov_pymt_ctrct_dly_YYYYMM Where do you need this data ingested to? What SQL server, database and table names? Table = CnlyProvider For the PMDM file, it has never been used by RCA. A new Table would need to be created (Need to confirm with Sajjan). Field Updates to be in Decipher Screens to be updated: Claims Header/Claims Detail, &amp; ACE What date in the month that the PMDM file(s) will arrive? Sent monthly on the 5th When will we expect to receive the monthly files? The files you just received has all PMDM data thru March2026. You will receive April2026 data on your regular schedule which will be the 5 th of each month. How would we receive the files? The PMDM file was FTP’d to Cotiviti on 4/7 and the just resent yesterday 4/20 per the client. Will they send to use? Do we need to download from their SFTP site? Yes, files will be delivered at the same location as other Humana files are received today. Regular site https://st.humana.com/ Non-production site https://qa-st.humana.com/</t>
        </is>
      </c>
      <c r="F68" s="47" t="inlineStr">
        <is>
          <t>R2B2 Ticket reference [RCASA-74509] Humana - Enhance PMDM Monthly File Ingestion to Support Three New Specialty Fields - R&amp;D Jira - WDC Updated Data Dictionary from client located here: Humana Supplemental Data Extract Guide_4.0</t>
        </is>
      </c>
      <c r="G68" s="47" t="inlineStr"/>
      <c r="H68" s="46" t="inlineStr">
        <is>
          <t>Other</t>
        </is>
      </c>
      <c r="I68" s="46" t="inlineStr">
        <is>
          <t>Other</t>
        </is>
      </c>
      <c r="J68" s="46" t="inlineStr"/>
      <c r="K68" s="46" t="inlineStr">
        <is>
          <t>In Progress (HD1)</t>
        </is>
      </c>
      <c r="L68" s="46" t="inlineStr">
        <is>
          <t>2026-04-21</t>
        </is>
      </c>
      <c r="M68" s="46" t="inlineStr">
        <is>
          <t>2026-05-06</t>
        </is>
      </c>
      <c r="N68" s="46" t="inlineStr">
        <is>
          <t>Nile Production Support</t>
        </is>
      </c>
      <c r="O68" s="46" t="inlineStr">
        <is>
          <t>Unassigned</t>
        </is>
      </c>
      <c r="P68" s="46" t="inlineStr">
        <is>
          <t>Franklin, Maria</t>
        </is>
      </c>
      <c r="Q68" s="46" t="inlineStr">
        <is>
          <t>Unresolved</t>
        </is>
      </c>
      <c r="R68" s="47" t="inlineStr">
        <is>
          <t>R2B2 Ticket reference [RCASA-74509] Humana - Enhance PMDM Monthly File Ingestion to Support Three New Specialty Fields - R&amp;D Jira - WDC Updated Data Dictionary from client located here: Humana Supplemental Data Extract Guide_4.0</t>
        </is>
      </c>
      <c r="S68" s="46" t="inlineStr"/>
      <c r="T68" s="46" t="inlineStr"/>
      <c r="U68" s="46" t="inlineStr"/>
      <c r="V68" s="50" t="inlineStr">
        <is>
          <t>File Issue</t>
        </is>
      </c>
      <c r="W68" s="46" t="inlineStr"/>
    </row>
    <row r="69">
      <c r="A69" s="43" t="inlineStr">
        <is>
          <t>IT-3004277</t>
        </is>
      </c>
      <c r="B69" s="43" t="inlineStr">
        <is>
          <t>IT-3004277</t>
        </is>
      </c>
      <c r="C69" s="43" t="inlineStr"/>
      <c r="D69" s="44" t="inlineStr">
        <is>
          <t>Copy data from QC hdfs to Dev hdfs - Nile</t>
        </is>
      </c>
      <c r="E69" s="44"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F69" s="44"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G69" s="44" t="inlineStr">
        <is>
          <t>Data Copied</t>
        </is>
      </c>
      <c r="H69" s="43" t="inlineStr">
        <is>
          <t>Other</t>
        </is>
      </c>
      <c r="I69" s="43" t="inlineStr">
        <is>
          <t>Other</t>
        </is>
      </c>
      <c r="J69" s="43" t="inlineStr"/>
      <c r="K69" s="43" t="inlineStr">
        <is>
          <t>Closed</t>
        </is>
      </c>
      <c r="L69" s="43" t="inlineStr">
        <is>
          <t>2026-04-21</t>
        </is>
      </c>
      <c r="M69" s="43" t="inlineStr">
        <is>
          <t>2026-04-22</t>
        </is>
      </c>
      <c r="N69" s="43" t="inlineStr">
        <is>
          <t>Nile Production Support</t>
        </is>
      </c>
      <c r="O69" s="43" t="inlineStr">
        <is>
          <t>Unassigned</t>
        </is>
      </c>
      <c r="P69" s="43" t="inlineStr">
        <is>
          <t>Prasad, Nirav</t>
        </is>
      </c>
      <c r="Q69" s="43" t="inlineStr">
        <is>
          <t>Resolved</t>
        </is>
      </c>
      <c r="R69" s="44"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S69" s="43" t="inlineStr"/>
      <c r="T69" s="43" t="inlineStr"/>
      <c r="U69" s="43" t="inlineStr"/>
      <c r="V69" s="58" t="inlineStr">
        <is>
          <t>Other</t>
        </is>
      </c>
      <c r="W69" s="43" t="inlineStr">
        <is>
          <t>Yes</t>
        </is>
      </c>
    </row>
    <row r="70">
      <c r="A70" s="46" t="inlineStr">
        <is>
          <t>IT-3004275</t>
        </is>
      </c>
      <c r="B70" s="46" t="inlineStr">
        <is>
          <t>IT-3004275</t>
        </is>
      </c>
      <c r="C70" s="46" t="inlineStr"/>
      <c r="D70" s="47" t="inlineStr">
        <is>
          <t>Please schedule the spooler accentsep-sodexo-inc96L3-CDL</t>
        </is>
      </c>
      <c r="E70" s="47" t="inlineStr">
        <is>
          <t>Please schedule the spooler accentsep-sodexo-inc96L3-CDL . This is monthly file. we will get file from the client between 10th to 20th of the month.</t>
        </is>
      </c>
      <c r="F70" s="47" t="inlineStr">
        <is>
          <t>Scheduled Run every hour between 10th and 20th of the month. 0 0/1 10-20 * * Will followup again see if it works in May. Pipeline is not schedule accent-separation-anthem-Sodexo-inc96L3-CDL Pipeline accent-separation-anthem-Sodexo-inc96L3-CDL Also scheduled: 5/1 * 10-20 * *</t>
        </is>
      </c>
      <c r="G70" s="47" t="inlineStr">
        <is>
          <t>both spooler and pipeline scheduled</t>
        </is>
      </c>
      <c r="H70" s="46" t="inlineStr">
        <is>
          <t>Other</t>
        </is>
      </c>
      <c r="I70" s="46" t="inlineStr">
        <is>
          <t>Other</t>
        </is>
      </c>
      <c r="J70" s="46" t="inlineStr"/>
      <c r="K70" s="46" t="inlineStr">
        <is>
          <t>Closed</t>
        </is>
      </c>
      <c r="L70" s="46" t="inlineStr">
        <is>
          <t>2026-04-21</t>
        </is>
      </c>
      <c r="M70" s="46" t="inlineStr">
        <is>
          <t>2026-04-30</t>
        </is>
      </c>
      <c r="N70" s="46" t="inlineStr">
        <is>
          <t>Nile Production Support</t>
        </is>
      </c>
      <c r="O70" s="46" t="inlineStr">
        <is>
          <t>Unassigned</t>
        </is>
      </c>
      <c r="P70" s="46" t="inlineStr">
        <is>
          <t>Nekkanti, Alekya</t>
        </is>
      </c>
      <c r="Q70" s="46" t="inlineStr">
        <is>
          <t>Resolved</t>
        </is>
      </c>
      <c r="R70" s="47" t="inlineStr">
        <is>
          <t>Scheduled Run every hour between 10th and 20th of the month. 0 0/1 10-20 * * Will followup again see if it works in May. Pipeline is not schedule accent-separation-anthem-Sodexo-inc96L3-CDL Pipeline accent-separation-anthem-Sodexo-inc96L3-CDL Also scheduled: 5/1 * 10-20 * *</t>
        </is>
      </c>
      <c r="S70" s="46" t="inlineStr"/>
      <c r="T70" s="46" t="inlineStr"/>
      <c r="U70" s="46" t="inlineStr"/>
      <c r="V70" s="57" t="inlineStr">
        <is>
          <t>Other</t>
        </is>
      </c>
      <c r="W70" s="46" t="inlineStr">
        <is>
          <t>Yes</t>
        </is>
      </c>
    </row>
    <row r="71">
      <c r="A71" s="43" t="inlineStr">
        <is>
          <t>IT-3004238</t>
        </is>
      </c>
      <c r="B71" s="43" t="inlineStr">
        <is>
          <t>IT-3004238</t>
        </is>
      </c>
      <c r="C71" s="43" t="inlineStr"/>
      <c r="D71" s="44" t="inlineStr">
        <is>
          <t>Healthspring DM 5381 - Claim Date Spans Showing on All Lines in Detail Decipher Screens</t>
        </is>
      </c>
      <c r="E71" s="44" t="inlineStr">
        <is>
          <t>After some investigating it appears the issues needs to be fixed at the Nile level or whatever pushes the Raw tables to SQL Stg. I need NILE to load the DOS (line_service_to_date) field from the RAW tables to the detail tables. Both dates need in the attached example to be fixed by Nile. The Excel worksheet provided and the query results that I pasted clearly shows that both values are wrong for this particular claim. Note: in the second image, all lines are showing the date range, we are looking specific date of service to each claim line. Query for attached table. SELECT TOP (1000) CnlyClaimNum , LineNum , LineBeginDOS , LineEndDOS FROM [HealthSpringDataClaimDetail] . [dbo] . [CnlyClaimsDetail] WHERE 1=1 ANDCnlyClaimNum='24E162751100' SELECT TOP (1000) CnlyClaimId , ClaimLine , FromDate , ThroughDate FROM [HealthSpringDataRaw] . [dbo] . [ProfessionalClaims_Load_New] WHERE 1=1 ANDCnlyClaimId='24E162751100' Reference: RCASA-69496</t>
        </is>
      </c>
      <c r="F71" s="44" t="inlineStr">
        <is>
          <t>we want to discuss about this ticket get more inputs from the user.</t>
        </is>
      </c>
      <c r="G71" s="44" t="inlineStr"/>
      <c r="H71" s="43" t="inlineStr">
        <is>
          <t>HC RCA PROD Support</t>
        </is>
      </c>
      <c r="I71" s="43" t="inlineStr">
        <is>
          <t>Other</t>
        </is>
      </c>
      <c r="J71" s="43" t="inlineStr"/>
      <c r="K71" s="43" t="inlineStr">
        <is>
          <t>On Hold</t>
        </is>
      </c>
      <c r="L71" s="43" t="inlineStr">
        <is>
          <t>2026-04-21</t>
        </is>
      </c>
      <c r="M71" s="43" t="inlineStr">
        <is>
          <t>2026-05-05</t>
        </is>
      </c>
      <c r="N71" s="43" t="inlineStr">
        <is>
          <t>Nile Production Support</t>
        </is>
      </c>
      <c r="O71" s="43" t="inlineStr">
        <is>
          <t>Unassigned</t>
        </is>
      </c>
      <c r="P71" s="43" t="inlineStr">
        <is>
          <t>Price, Ryon</t>
        </is>
      </c>
      <c r="Q71" s="43" t="inlineStr">
        <is>
          <t>Unresolved</t>
        </is>
      </c>
      <c r="R71" s="44" t="inlineStr">
        <is>
          <t>we want to discuss about this ticket get more inputs from the user.</t>
        </is>
      </c>
      <c r="S71" s="43" t="inlineStr"/>
      <c r="T71" s="43" t="inlineStr"/>
      <c r="U71" s="43" t="inlineStr"/>
      <c r="V71" s="51" t="inlineStr">
        <is>
          <t>Data Issue</t>
        </is>
      </c>
      <c r="W71" s="43" t="inlineStr"/>
    </row>
    <row r="72">
      <c r="A72" s="46" t="inlineStr">
        <is>
          <t>IT-3004202</t>
        </is>
      </c>
      <c r="B72" s="46" t="inlineStr">
        <is>
          <t>IT-3004202</t>
        </is>
      </c>
      <c r="C72" s="46" t="inlineStr"/>
      <c r="D72" s="47" t="inlineStr">
        <is>
          <t>bcbsnc_crosswalk spooler update</t>
        </is>
      </c>
      <c r="E72" s="47" t="inlineStr">
        <is>
          <t>update this spooler bcbsnc_crosswalk with wildcard. currently it is hardcoded CrosswalkNCProf_20260201_20260320.csv.pgp We have already received this month file CrosswalkNCProf_20260301_20260420.csv.pgp</t>
        </is>
      </c>
      <c r="F72" s="47" t="inlineStr"/>
      <c r="G72" s="47" t="inlineStr">
        <is>
          <t>Updated the spoolr. Corrected the file name pattern and tested if it will spool both prof and inst file</t>
        </is>
      </c>
      <c r="H72" s="46" t="inlineStr">
        <is>
          <t>Other</t>
        </is>
      </c>
      <c r="I72" s="46" t="inlineStr">
        <is>
          <t>Other</t>
        </is>
      </c>
      <c r="J72" s="46" t="inlineStr"/>
      <c r="K72" s="46" t="inlineStr">
        <is>
          <t>Closed</t>
        </is>
      </c>
      <c r="L72" s="46" t="inlineStr">
        <is>
          <t>2026-04-21</t>
        </is>
      </c>
      <c r="M72" s="46" t="inlineStr">
        <is>
          <t>2026-04-21</t>
        </is>
      </c>
      <c r="N72" s="46" t="inlineStr">
        <is>
          <t>Nile Production Support</t>
        </is>
      </c>
      <c r="O72" s="46" t="inlineStr">
        <is>
          <t>Unassigned</t>
        </is>
      </c>
      <c r="P72" s="46" t="inlineStr">
        <is>
          <t>Easley, Keaton</t>
        </is>
      </c>
      <c r="Q72" s="46" t="inlineStr">
        <is>
          <t>Resolved</t>
        </is>
      </c>
      <c r="R72" s="47" t="inlineStr"/>
      <c r="S72" s="46" t="inlineStr"/>
      <c r="T72" s="46" t="inlineStr"/>
      <c r="U72" s="46" t="inlineStr"/>
      <c r="V72" s="61" t="inlineStr">
        <is>
          <t>Spooler issue</t>
        </is>
      </c>
      <c r="W72" s="46" t="inlineStr"/>
    </row>
    <row r="73">
      <c r="A73" s="43" t="inlineStr">
        <is>
          <t>IT-3004125</t>
        </is>
      </c>
      <c r="B73" s="43" t="inlineStr">
        <is>
          <t>IT-3004125</t>
        </is>
      </c>
      <c r="C73" s="43" t="inlineStr"/>
      <c r="D73" s="44" t="inlineStr">
        <is>
          <t>Excellus CAQH: [20260417 - prod - dm-excellus-actian_migration_caqh] Please Hold until we receive missing files from week of 04/10</t>
        </is>
      </c>
      <c r="E73" s="44" t="inlineStr">
        <is>
          <t>Hello Team , Please hold pipeline [*prod - dm-excellus-actian_migration_caqh*] until we receive missing files from week of 04/10.</t>
        </is>
      </c>
      <c r="F73" s="44" t="inlineStr">
        <is>
          <t>Waiting on missing files</t>
        </is>
      </c>
      <c r="G73" s="44" t="inlineStr"/>
      <c r="H73" s="43" t="inlineStr">
        <is>
          <t>Other</t>
        </is>
      </c>
      <c r="I73" s="43" t="inlineStr">
        <is>
          <t>Other</t>
        </is>
      </c>
      <c r="J73" s="43" t="inlineStr"/>
      <c r="K73" s="43" t="inlineStr">
        <is>
          <t>On Hold</t>
        </is>
      </c>
      <c r="L73" s="43" t="inlineStr">
        <is>
          <t>2026-04-21</t>
        </is>
      </c>
      <c r="M73" s="43" t="inlineStr">
        <is>
          <t>2026-05-05</t>
        </is>
      </c>
      <c r="N73" s="43" t="inlineStr">
        <is>
          <t>Nile Production Support</t>
        </is>
      </c>
      <c r="O73" s="43" t="inlineStr">
        <is>
          <t>Unassigned</t>
        </is>
      </c>
      <c r="P73" s="43" t="inlineStr">
        <is>
          <t>Hirpara, Meera</t>
        </is>
      </c>
      <c r="Q73" s="43" t="inlineStr">
        <is>
          <t>Unresolved</t>
        </is>
      </c>
      <c r="R73" s="44" t="inlineStr">
        <is>
          <t>Waiting on missing files</t>
        </is>
      </c>
      <c r="S73" s="43" t="inlineStr"/>
      <c r="T73" s="43" t="inlineStr"/>
      <c r="U73" s="43" t="inlineStr"/>
      <c r="V73" s="64" t="inlineStr">
        <is>
          <t>File Missing</t>
        </is>
      </c>
      <c r="W73" s="43" t="inlineStr"/>
    </row>
    <row r="74">
      <c r="A74" s="46" t="inlineStr">
        <is>
          <t>IT-3004101</t>
        </is>
      </c>
      <c r="B74" s="46" t="inlineStr">
        <is>
          <t>IT-3004101</t>
        </is>
      </c>
      <c r="C74" s="46" t="inlineStr"/>
      <c r="D74" s="47" t="inlineStr">
        <is>
          <t>Error when running Humana BMC pipeline: trigger_bmc_workflow_CHC_HUMANA_MTH_DATALOADMEMBER_NILE_monthly</t>
        </is>
      </c>
      <c r="E74" s="47" t="inlineStr">
        <is>
          <t>Hi Nile PS Triage Team, When I press the execute button for the pipeline above, it immediately throws an error (snapshot). Would you mind taking a look? Thank you melly</t>
        </is>
      </c>
      <c r="F74" s="47"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G74" s="47" t="inlineStr">
        <is>
          <t>Pipeline processed successfully.</t>
        </is>
      </c>
      <c r="H74" s="46" t="inlineStr">
        <is>
          <t>Other</t>
        </is>
      </c>
      <c r="I74" s="46" t="inlineStr">
        <is>
          <t>Other</t>
        </is>
      </c>
      <c r="J74" s="46" t="inlineStr"/>
      <c r="K74" s="46" t="inlineStr">
        <is>
          <t>Closed</t>
        </is>
      </c>
      <c r="L74" s="46" t="inlineStr">
        <is>
          <t>2026-04-21</t>
        </is>
      </c>
      <c r="M74" s="46" t="inlineStr">
        <is>
          <t>2026-04-22</t>
        </is>
      </c>
      <c r="N74" s="46" t="inlineStr">
        <is>
          <t>Nile Production Support</t>
        </is>
      </c>
      <c r="O74" s="46" t="inlineStr">
        <is>
          <t>Unassigned</t>
        </is>
      </c>
      <c r="P74" s="46" t="inlineStr">
        <is>
          <t>Suryani, Melly</t>
        </is>
      </c>
      <c r="Q74" s="46" t="inlineStr">
        <is>
          <t>Resolved</t>
        </is>
      </c>
      <c r="R74" s="47"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S74" s="46" t="inlineStr"/>
      <c r="T74" s="46" t="inlineStr"/>
      <c r="U74" s="46" t="inlineStr"/>
      <c r="V74" s="52" t="inlineStr">
        <is>
          <t>Pipeline Schedule</t>
        </is>
      </c>
      <c r="W74" s="46" t="inlineStr"/>
    </row>
    <row r="75">
      <c r="A75" s="43" t="inlineStr">
        <is>
          <t>IT-3003713</t>
        </is>
      </c>
      <c r="B75" s="43" t="inlineStr">
        <is>
          <t>IT-3003713</t>
        </is>
      </c>
      <c r="C75" s="43" t="inlineStr"/>
      <c r="D75" s="44" t="inlineStr">
        <is>
          <t>Update Production spooler late cron check</t>
        </is>
      </c>
      <c r="E75" s="44" t="inlineStr">
        <is>
          <t>Hi Team, Could you please update the notouch spooler in production for Wellcare with value - 0 14 * * TUE Spooler name - Wellcare-Wellcare_Actian_PBM_MTH_notouch Thanks, Shilpa Anna</t>
        </is>
      </c>
      <c r="F75" s="44" t="inlineStr">
        <is>
          <t>late cron has been updated Will close once demo is done</t>
        </is>
      </c>
      <c r="G75" s="44" t="inlineStr">
        <is>
          <t>Edited schedule and late cron for this spooler</t>
        </is>
      </c>
      <c r="H75" s="43" t="inlineStr">
        <is>
          <t>Other</t>
        </is>
      </c>
      <c r="I75" s="43" t="inlineStr">
        <is>
          <t>Other</t>
        </is>
      </c>
      <c r="J75" s="43" t="inlineStr"/>
      <c r="K75" s="43" t="inlineStr">
        <is>
          <t>Closed</t>
        </is>
      </c>
      <c r="L75" s="43" t="inlineStr">
        <is>
          <t>2026-04-21</t>
        </is>
      </c>
      <c r="M75" s="43" t="inlineStr">
        <is>
          <t>2026-04-23</t>
        </is>
      </c>
      <c r="N75" s="43" t="inlineStr">
        <is>
          <t>Nile Production Support</t>
        </is>
      </c>
      <c r="O75" s="43" t="inlineStr">
        <is>
          <t>Unassigned</t>
        </is>
      </c>
      <c r="P75" s="43" t="inlineStr">
        <is>
          <t>Varghese, Shilpa Anna</t>
        </is>
      </c>
      <c r="Q75" s="43" t="inlineStr">
        <is>
          <t>Resolved</t>
        </is>
      </c>
      <c r="R75" s="44" t="inlineStr">
        <is>
          <t>late cron has been updated Will close once demo is done</t>
        </is>
      </c>
      <c r="S75" s="43" t="inlineStr"/>
      <c r="T75" s="43" t="inlineStr"/>
      <c r="U75" s="43" t="inlineStr"/>
      <c r="V75" s="62" t="inlineStr">
        <is>
          <t>Pipeline Schedule</t>
        </is>
      </c>
      <c r="W75" s="43" t="inlineStr"/>
    </row>
    <row r="76">
      <c r="A76" s="46" t="inlineStr">
        <is>
          <t>IT-3003394</t>
        </is>
      </c>
      <c r="B76" s="46" t="inlineStr">
        <is>
          <t>IT-3003394</t>
        </is>
      </c>
      <c r="C76" s="46" t="inlineStr"/>
      <c r="D76" s="47" t="inlineStr">
        <is>
          <t>Medical Codes Library Document Submission</t>
        </is>
      </c>
      <c r="E76" s="47" t="inlineStr">
        <is>
          <t>Please add the attached table (DX Code Laterality Table) to the Medical Codes Library (MCL). Table is needed for Spotcheck content logic.</t>
        </is>
      </c>
      <c r="F76" s="47"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G76" s="47" t="inlineStr">
        <is>
          <t>All the required configurations are completed and tested in dev environment. Mike validated and confirmed to close the ticket. Migrated all the configs to production.</t>
        </is>
      </c>
      <c r="H76" s="46" t="inlineStr">
        <is>
          <t>Other</t>
        </is>
      </c>
      <c r="I76" s="46" t="inlineStr">
        <is>
          <t>Other</t>
        </is>
      </c>
      <c r="J76" s="46" t="inlineStr"/>
      <c r="K76" s="46" t="inlineStr">
        <is>
          <t>Closed</t>
        </is>
      </c>
      <c r="L76" s="46" t="inlineStr">
        <is>
          <t>2026-04-21</t>
        </is>
      </c>
      <c r="M76" s="46" t="inlineStr">
        <is>
          <t>2026-04-29</t>
        </is>
      </c>
      <c r="N76" s="46" t="inlineStr">
        <is>
          <t>Nile Production Support</t>
        </is>
      </c>
      <c r="O76" s="46" t="inlineStr">
        <is>
          <t>Unassigned</t>
        </is>
      </c>
      <c r="P76" s="46" t="inlineStr">
        <is>
          <t>Pineo, Rob</t>
        </is>
      </c>
      <c r="Q76" s="46" t="inlineStr">
        <is>
          <t>Resolved</t>
        </is>
      </c>
      <c r="R76" s="47"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S76" s="46" t="inlineStr"/>
      <c r="T76" s="46" t="inlineStr"/>
      <c r="U76" s="46" t="inlineStr"/>
      <c r="V76" s="50" t="inlineStr">
        <is>
          <t>File Issue</t>
        </is>
      </c>
      <c r="W76" s="46" t="inlineStr"/>
    </row>
    <row r="77">
      <c r="A77" s="43" t="inlineStr">
        <is>
          <t>IT-3002800</t>
        </is>
      </c>
      <c r="B77" s="43" t="inlineStr">
        <is>
          <t>IT-3002800</t>
        </is>
      </c>
      <c r="C77" s="43" t="inlineStr"/>
      <c r="D77" s="44" t="inlineStr">
        <is>
          <t>prebc_history both inst &amp; prof failed for data date 04/06</t>
        </is>
      </c>
      <c r="E77" s="44" t="inlineStr">
        <is>
          <t>Both the Premera history pipelines for data date 04/06 have failed. The files are available in the spooler, but the pipelines are not able to pick up the files. Could you please analyze the files and check if there are any issues causing the pipelines to not detect or process them?</t>
        </is>
      </c>
      <c r="F77" s="44"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G77" s="44" t="inlineStr">
        <is>
          <t>Files ingestion is failing due to required missing header/trailer records. Please ask for replacement files.</t>
        </is>
      </c>
      <c r="H77" s="43" t="inlineStr">
        <is>
          <t>Other</t>
        </is>
      </c>
      <c r="I77" s="43" t="inlineStr">
        <is>
          <t>Other</t>
        </is>
      </c>
      <c r="J77" s="43" t="inlineStr"/>
      <c r="K77" s="43" t="inlineStr">
        <is>
          <t>Closed</t>
        </is>
      </c>
      <c r="L77" s="43" t="inlineStr">
        <is>
          <t>2026-04-21</t>
        </is>
      </c>
      <c r="M77" s="43" t="inlineStr">
        <is>
          <t>2026-04-23</t>
        </is>
      </c>
      <c r="N77" s="43" t="inlineStr">
        <is>
          <t>Nile Production Support</t>
        </is>
      </c>
      <c r="O77" s="43" t="inlineStr">
        <is>
          <t>Unassigned</t>
        </is>
      </c>
      <c r="P77" s="43" t="inlineStr">
        <is>
          <t>Raya, Birajan</t>
        </is>
      </c>
      <c r="Q77" s="43" t="inlineStr">
        <is>
          <t>Resolved</t>
        </is>
      </c>
      <c r="R77" s="44"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S77" s="43" t="inlineStr"/>
      <c r="T77" s="43" t="inlineStr"/>
      <c r="U77" s="43" t="inlineStr"/>
      <c r="V77" s="62" t="inlineStr">
        <is>
          <t>Pipeline Schedule</t>
        </is>
      </c>
      <c r="W77" s="43" t="inlineStr"/>
    </row>
    <row r="78">
      <c r="A78" s="46" t="inlineStr">
        <is>
          <t>IT-3002556</t>
        </is>
      </c>
      <c r="B78" s="46" t="inlineStr">
        <is>
          <t>IT-3002556</t>
        </is>
      </c>
      <c r="C78" s="46" t="inlineStr"/>
      <c r="D78" s="47" t="inlineStr">
        <is>
          <t>Pipeline bcbsnjhorizon_facets_no_touch not picking up spooled files – File does not exist error</t>
        </is>
      </c>
      <c r="E78" s="47" t="inlineStr">
        <is>
          <t>the pipeline bcbsnjhorizon_facets_no_touch . The spooler was manually executed, and the files were successfully spooled. However, after triggering the pipeline, it is still not able to pick up the files. The following error is observed: "File /dataingestionprod/restricted/273-bcbsnjhorizon-facets/rawincoming/2023-11-07-64453041/1.1/1/20260417/1 does not exist." Kindly verify the file path, file availability, and any possible path or permission issues causing the pipeline to not detect the spooled files.</t>
        </is>
      </c>
      <c r="F78" s="47" t="inlineStr">
        <is>
          <t>we fixed the issue and successfully processed the pipeline for 20260417 data date. we fixed the issue and processed the pipeline.</t>
        </is>
      </c>
      <c r="G78" s="47" t="inlineStr">
        <is>
          <t>we fixed the issue and processed the pipeline.</t>
        </is>
      </c>
      <c r="H78" s="46" t="inlineStr">
        <is>
          <t>Other</t>
        </is>
      </c>
      <c r="I78" s="46" t="inlineStr">
        <is>
          <t>Other</t>
        </is>
      </c>
      <c r="J78" s="46" t="inlineStr"/>
      <c r="K78" s="46" t="inlineStr">
        <is>
          <t>Closed</t>
        </is>
      </c>
      <c r="L78" s="46" t="inlineStr">
        <is>
          <t>2026-04-21</t>
        </is>
      </c>
      <c r="M78" s="46" t="inlineStr">
        <is>
          <t>2026-04-24</t>
        </is>
      </c>
      <c r="N78" s="46" t="inlineStr">
        <is>
          <t>Nile Production Support</t>
        </is>
      </c>
      <c r="O78" s="46" t="inlineStr">
        <is>
          <t>Unassigned</t>
        </is>
      </c>
      <c r="P78" s="46" t="inlineStr">
        <is>
          <t>Raya, Birajan</t>
        </is>
      </c>
      <c r="Q78" s="46" t="inlineStr">
        <is>
          <t>Resolved</t>
        </is>
      </c>
      <c r="R78" s="47" t="inlineStr">
        <is>
          <t>we fixed the issue and successfully processed the pipeline for 20260417 data date. we fixed the issue and processed the pipeline.</t>
        </is>
      </c>
      <c r="S78" s="46" t="inlineStr"/>
      <c r="T78" s="46" t="inlineStr"/>
      <c r="U78" s="46" t="inlineStr"/>
      <c r="V78" s="61" t="inlineStr">
        <is>
          <t>Spooler issue</t>
        </is>
      </c>
      <c r="W78" s="46" t="inlineStr"/>
    </row>
    <row r="79">
      <c r="A79" s="43" t="inlineStr">
        <is>
          <t>IT-3002267</t>
        </is>
      </c>
      <c r="B79" s="43" t="inlineStr">
        <is>
          <t>IT-3002267</t>
        </is>
      </c>
      <c r="C79" s="43" t="inlineStr"/>
      <c r="D79" s="44" t="inlineStr">
        <is>
          <t>[Aetna-Trad-SCM]-Update prechecks for BMC and publish all the child pipelines.</t>
        </is>
      </c>
      <c r="E79" s="44" t="inlineStr">
        <is>
          <t>Update precheck with pipeline version as latest and remove all the unnecessary parameters from the pipeline. Publish all the child pipelines and modify subscribe BMC pipeline versions to latest.</t>
        </is>
      </c>
      <c r="F79" s="44"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G79" s="44" t="inlineStr">
        <is>
          <t>BMC Pipeline prechecks conditions for pipeline version is updated to latest. Published and scheduled the latest BMC version pipeline. FYI: trigger_bmc_workflow_CHC_AETNA_WKY_SCM_NILE Version: V1.3</t>
        </is>
      </c>
      <c r="H79" s="43" t="inlineStr">
        <is>
          <t>Other</t>
        </is>
      </c>
      <c r="I79" s="43" t="inlineStr">
        <is>
          <t>Other</t>
        </is>
      </c>
      <c r="J79" s="43" t="inlineStr"/>
      <c r="K79" s="43" t="inlineStr">
        <is>
          <t>Closed</t>
        </is>
      </c>
      <c r="L79" s="43" t="inlineStr">
        <is>
          <t>2026-04-20</t>
        </is>
      </c>
      <c r="M79" s="43" t="inlineStr">
        <is>
          <t>2026-04-29</t>
        </is>
      </c>
      <c r="N79" s="43" t="inlineStr">
        <is>
          <t>Nile Production Support</t>
        </is>
      </c>
      <c r="O79" s="43" t="inlineStr">
        <is>
          <t>Unassigned</t>
        </is>
      </c>
      <c r="P79" s="43" t="inlineStr">
        <is>
          <t>Kamsetty, Sravani</t>
        </is>
      </c>
      <c r="Q79" s="43" t="inlineStr">
        <is>
          <t>Resolved</t>
        </is>
      </c>
      <c r="R79" s="44"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S79" s="43" t="inlineStr"/>
      <c r="T79" s="43" t="inlineStr"/>
      <c r="U79" s="43" t="inlineStr"/>
      <c r="V79" s="49" t="inlineStr">
        <is>
          <t>Configuration Issue</t>
        </is>
      </c>
      <c r="W79" s="43" t="inlineStr"/>
    </row>
    <row r="80">
      <c r="A80" s="46" t="inlineStr">
        <is>
          <t>IT-3002260</t>
        </is>
      </c>
      <c r="B80" s="46" t="inlineStr">
        <is>
          <t>IT-3002260</t>
        </is>
      </c>
      <c r="C80" s="46" t="inlineStr"/>
      <c r="D80" s="47" t="inlineStr">
        <is>
          <t>dm-bcbs_ma-actian_migration_caqh Pipeline Failed – Mandatory Files Not Recognized</t>
        </is>
      </c>
      <c r="E80" s="47" t="inlineStr">
        <is>
          <t>The pipeline dm-bcbs_ma_bcbs_ma-actian_migration_caqh_and_bmc_workflow_CHC_BCBS_MA_ADH_CAQH_Load_NILE has failed during execution. The error message observed is: "Exiting Process with failure. Not all mandatory source files are present for Period: 20260331. No sub-stage(s) should run." However, upon verification, the required source files appear to be available in the expected source location with valid file sizes. Request: Kindly investigate why the pipeline is unable to detect the mandatory source files despite their presence in the source path. Please verify file naming, file availability checks, and source configuration for Period 20260331 . Impact: The pipeline execution is currently blocked due to the mandatory file validation failure, preventing further downstream processing.</t>
        </is>
      </c>
      <c r="F80" s="47" t="inlineStr">
        <is>
          <t>Filename pattern changed from CAQH file.* to CAQH File.* Ran the pipeline using override parameters and completed successfully.</t>
        </is>
      </c>
      <c r="G80" s="47" t="inlineStr">
        <is>
          <t>Filename pattern changed from CAQH file.* to CAQH File.* Ran the pipeline using override parameters and completed successfully.</t>
        </is>
      </c>
      <c r="H80" s="46" t="inlineStr">
        <is>
          <t>Other</t>
        </is>
      </c>
      <c r="I80" s="46" t="inlineStr">
        <is>
          <t>Other</t>
        </is>
      </c>
      <c r="J80" s="46" t="inlineStr"/>
      <c r="K80" s="46" t="inlineStr">
        <is>
          <t>Closed</t>
        </is>
      </c>
      <c r="L80" s="46" t="inlineStr">
        <is>
          <t>2026-04-20</t>
        </is>
      </c>
      <c r="M80" s="46" t="inlineStr">
        <is>
          <t>2026-04-21</t>
        </is>
      </c>
      <c r="N80" s="46" t="inlineStr">
        <is>
          <t>Nile Production Support</t>
        </is>
      </c>
      <c r="O80" s="46" t="inlineStr">
        <is>
          <t>Unassigned</t>
        </is>
      </c>
      <c r="P80" s="46" t="inlineStr">
        <is>
          <t>Raya, Birajan</t>
        </is>
      </c>
      <c r="Q80" s="46" t="inlineStr">
        <is>
          <t>Resolved</t>
        </is>
      </c>
      <c r="R80" s="47" t="inlineStr">
        <is>
          <t>Filename pattern changed from CAQH file.* to CAQH File.* Ran the pipeline using override parameters and completed successfully.</t>
        </is>
      </c>
      <c r="S80" s="46" t="inlineStr"/>
      <c r="T80" s="46" t="inlineStr"/>
      <c r="U80" s="46" t="inlineStr"/>
      <c r="V80" s="50" t="inlineStr">
        <is>
          <t>File Issue</t>
        </is>
      </c>
      <c r="W80" s="46" t="inlineStr"/>
    </row>
    <row r="81">
      <c r="A81" s="43" t="inlineStr">
        <is>
          <t>IT-3001908</t>
        </is>
      </c>
      <c r="B81" s="43" t="inlineStr">
        <is>
          <t>IT-3001908</t>
        </is>
      </c>
      <c r="C81" s="43" t="inlineStr"/>
      <c r="D81" s="44" t="inlineStr">
        <is>
          <t>BCBS_AL COMM - Suspend Pharmacy pipeline</t>
        </is>
      </c>
      <c r="E81" s="44" t="inlineStr">
        <is>
          <t>Hello, Please shut down BCBS_AL COMM Pharmacy pipeline: prod - dm-bcbsalcomm-custom-actian_migration_pharmacy Because the client will no longer be sending this file. Thank you</t>
        </is>
      </c>
      <c r="F81" s="44"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G81" s="44" t="inlineStr">
        <is>
          <t>dm-bcbsalcomm-custom-actian_migration_pharmacy pipelines have been suspended and the rest of the files have been ingested.</t>
        </is>
      </c>
      <c r="H81" s="43" t="inlineStr">
        <is>
          <t>Other</t>
        </is>
      </c>
      <c r="I81" s="43" t="inlineStr">
        <is>
          <t>Other</t>
        </is>
      </c>
      <c r="J81" s="43" t="inlineStr"/>
      <c r="K81" s="43" t="inlineStr">
        <is>
          <t>Closed</t>
        </is>
      </c>
      <c r="L81" s="43" t="inlineStr">
        <is>
          <t>2026-04-20</t>
        </is>
      </c>
      <c r="M81" s="43" t="inlineStr">
        <is>
          <t>2026-04-21</t>
        </is>
      </c>
      <c r="N81" s="43" t="inlineStr">
        <is>
          <t>Nile Production Support</t>
        </is>
      </c>
      <c r="O81" s="43" t="inlineStr">
        <is>
          <t>Unassigned</t>
        </is>
      </c>
      <c r="P81" s="43" t="inlineStr">
        <is>
          <t>Shrestha, Sajjan</t>
        </is>
      </c>
      <c r="Q81" s="43" t="inlineStr">
        <is>
          <t>Resolved</t>
        </is>
      </c>
      <c r="R81" s="44"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S81" s="43" t="inlineStr"/>
      <c r="T81" s="43" t="inlineStr"/>
      <c r="U81" s="43" t="inlineStr"/>
      <c r="V81" s="58" t="inlineStr">
        <is>
          <t>Other</t>
        </is>
      </c>
      <c r="W81" s="43" t="inlineStr">
        <is>
          <t>Yes</t>
        </is>
      </c>
    </row>
    <row r="82">
      <c r="A82" s="46" t="inlineStr">
        <is>
          <t>IT-3001338</t>
        </is>
      </c>
      <c r="B82" s="46" t="inlineStr">
        <is>
          <t>IT-3001338</t>
        </is>
      </c>
      <c r="C82" s="46" t="inlineStr"/>
      <c r="D82" s="47" t="inlineStr">
        <is>
          <t>Copy files From Nile Prod Raw path to Nile QC Raw path - UHC-CSP</t>
        </is>
      </c>
      <c r="E82" s="47"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F82" s="47" t="inlineStr">
        <is>
          <t>Hi Pati, Jagadeesh Chandra Files copied please verify</t>
        </is>
      </c>
      <c r="G82" s="47" t="inlineStr">
        <is>
          <t>Files Copied</t>
        </is>
      </c>
      <c r="H82" s="46" t="inlineStr">
        <is>
          <t>Other</t>
        </is>
      </c>
      <c r="I82" s="46" t="inlineStr">
        <is>
          <t>Other</t>
        </is>
      </c>
      <c r="J82" s="46" t="inlineStr"/>
      <c r="K82" s="46" t="inlineStr">
        <is>
          <t>Closed</t>
        </is>
      </c>
      <c r="L82" s="46" t="inlineStr">
        <is>
          <t>2026-04-20</t>
        </is>
      </c>
      <c r="M82" s="46" t="inlineStr">
        <is>
          <t>2026-04-20</t>
        </is>
      </c>
      <c r="N82" s="46" t="inlineStr">
        <is>
          <t>Nile Production Support</t>
        </is>
      </c>
      <c r="O82" s="46" t="inlineStr">
        <is>
          <t>Unassigned</t>
        </is>
      </c>
      <c r="P82" s="46" t="inlineStr">
        <is>
          <t>Pati, Jagadeesh Chandra</t>
        </is>
      </c>
      <c r="Q82" s="46" t="inlineStr">
        <is>
          <t>Resolved</t>
        </is>
      </c>
      <c r="R82" s="47" t="inlineStr">
        <is>
          <t>Hi Pati, Jagadeesh Chandra Files copied please verify</t>
        </is>
      </c>
      <c r="S82" s="46" t="inlineStr"/>
      <c r="T82" s="46" t="inlineStr"/>
      <c r="U82" s="46" t="inlineStr"/>
      <c r="V82" s="57" t="inlineStr">
        <is>
          <t>Other</t>
        </is>
      </c>
      <c r="W82" s="46" t="inlineStr">
        <is>
          <t>Yes</t>
        </is>
      </c>
    </row>
    <row r="83">
      <c r="A83" s="43" t="inlineStr">
        <is>
          <t>IT-3001212</t>
        </is>
      </c>
      <c r="B83" s="43" t="inlineStr">
        <is>
          <t>IT-3001212</t>
        </is>
      </c>
      <c r="C83" s="43" t="inlineStr"/>
      <c r="D83" s="44" t="inlineStr">
        <is>
          <t>Copy files From Nile Prod Raw path to Nile QC Raw path - Aetna Trad</t>
        </is>
      </c>
      <c r="E83" s="44"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83" s="44" t="inlineStr">
        <is>
          <t>Hi Shivalingu, Naveen Files copied please verify Thanks Satish Devatha</t>
        </is>
      </c>
      <c r="G83" s="44" t="inlineStr">
        <is>
          <t>Files Copied</t>
        </is>
      </c>
      <c r="H83" s="43" t="inlineStr">
        <is>
          <t>Other</t>
        </is>
      </c>
      <c r="I83" s="43" t="inlineStr">
        <is>
          <t>Other</t>
        </is>
      </c>
      <c r="J83" s="43" t="inlineStr"/>
      <c r="K83" s="43" t="inlineStr">
        <is>
          <t>Closed</t>
        </is>
      </c>
      <c r="L83" s="43" t="inlineStr">
        <is>
          <t>2026-04-20</t>
        </is>
      </c>
      <c r="M83" s="43" t="inlineStr">
        <is>
          <t>2026-04-20</t>
        </is>
      </c>
      <c r="N83" s="43" t="inlineStr">
        <is>
          <t>Nile Production Support</t>
        </is>
      </c>
      <c r="O83" s="43" t="inlineStr">
        <is>
          <t>Unassigned</t>
        </is>
      </c>
      <c r="P83" s="43" t="inlineStr">
        <is>
          <t>Shivalingu, Naveen</t>
        </is>
      </c>
      <c r="Q83" s="43" t="inlineStr">
        <is>
          <t>Resolved</t>
        </is>
      </c>
      <c r="R83" s="44" t="inlineStr">
        <is>
          <t>Hi Shivalingu, Naveen Files copied please verify Thanks Satish Devatha</t>
        </is>
      </c>
      <c r="S83" s="43" t="inlineStr"/>
      <c r="T83" s="43" t="inlineStr"/>
      <c r="U83" s="43" t="inlineStr"/>
      <c r="V83" s="58" t="inlineStr">
        <is>
          <t>Other</t>
        </is>
      </c>
      <c r="W83" s="43" t="inlineStr">
        <is>
          <t>Yes</t>
        </is>
      </c>
    </row>
    <row r="84">
      <c r="A84" s="46" t="inlineStr">
        <is>
          <t>IT-3001086</t>
        </is>
      </c>
      <c r="B84" s="46" t="inlineStr">
        <is>
          <t>IT-3001086</t>
        </is>
      </c>
      <c r="C84" s="46" t="inlineStr"/>
      <c r="D84" s="47" t="inlineStr">
        <is>
          <t>Subject: OSCAR no claim volume Importance: High</t>
        </is>
      </c>
      <c r="E84" s="47"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F84" s="47" t="inlineStr">
        <is>
          <t>I realized this was on the client side and shouldnt have created the ticket</t>
        </is>
      </c>
      <c r="G84" s="47" t="inlineStr"/>
      <c r="H84" s="46" t="inlineStr">
        <is>
          <t>Other</t>
        </is>
      </c>
      <c r="I84" s="46" t="inlineStr">
        <is>
          <t>Other</t>
        </is>
      </c>
      <c r="J84" s="46" t="inlineStr"/>
      <c r="K84" s="46" t="inlineStr">
        <is>
          <t>Cancelled</t>
        </is>
      </c>
      <c r="L84" s="46" t="inlineStr">
        <is>
          <t>2026-04-20</t>
        </is>
      </c>
      <c r="M84" s="46" t="inlineStr">
        <is>
          <t>2026-04-22</t>
        </is>
      </c>
      <c r="N84" s="46" t="inlineStr">
        <is>
          <t>Nile Production Support</t>
        </is>
      </c>
      <c r="O84" s="46" t="inlineStr">
        <is>
          <t>Unassigned</t>
        </is>
      </c>
      <c r="P84" s="46" t="inlineStr">
        <is>
          <t>Briguglio, Katrina</t>
        </is>
      </c>
      <c r="Q84" s="46" t="inlineStr">
        <is>
          <t>Cancelled</t>
        </is>
      </c>
      <c r="R84" s="47" t="inlineStr">
        <is>
          <t>I realized this was on the client side and shouldnt have created the ticket</t>
        </is>
      </c>
      <c r="S84" s="46" t="inlineStr"/>
      <c r="T84" s="46" t="inlineStr"/>
      <c r="U84" s="46" t="inlineStr"/>
      <c r="V84" s="57" t="inlineStr">
        <is>
          <t>Other</t>
        </is>
      </c>
      <c r="W84" s="46" t="inlineStr">
        <is>
          <t>Yes</t>
        </is>
      </c>
    </row>
    <row r="85">
      <c r="A85" s="43" t="inlineStr">
        <is>
          <t>IT-3000667</t>
        </is>
      </c>
      <c r="B85" s="43" t="inlineStr">
        <is>
          <t>IT-3000667</t>
        </is>
      </c>
      <c r="C85" s="43" t="inlineStr"/>
      <c r="D85" s="44" t="inlineStr">
        <is>
          <t>Humana claims file not ingested</t>
        </is>
      </c>
      <c r="E85" s="44" t="inlineStr">
        <is>
          <t>Hello, Humana claims file is not ingested. File have arrived on their website. Please check. Thank you</t>
        </is>
      </c>
      <c r="F85" s="44"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G85" s="44" t="inlineStr">
        <is>
          <t>pipeline completed</t>
        </is>
      </c>
      <c r="H85" s="43" t="inlineStr">
        <is>
          <t>Other</t>
        </is>
      </c>
      <c r="I85" s="43" t="inlineStr">
        <is>
          <t>Other</t>
        </is>
      </c>
      <c r="J85" s="43" t="inlineStr"/>
      <c r="K85" s="43" t="inlineStr">
        <is>
          <t>Closed</t>
        </is>
      </c>
      <c r="L85" s="43" t="inlineStr">
        <is>
          <t>2026-04-20</t>
        </is>
      </c>
      <c r="M85" s="43" t="inlineStr">
        <is>
          <t>2026-04-20</t>
        </is>
      </c>
      <c r="N85" s="43" t="inlineStr">
        <is>
          <t>Nile Production Support</t>
        </is>
      </c>
      <c r="O85" s="43" t="inlineStr">
        <is>
          <t>Unassigned</t>
        </is>
      </c>
      <c r="P85" s="43" t="inlineStr">
        <is>
          <t>Shrestha, Sajjan</t>
        </is>
      </c>
      <c r="Q85" s="43" t="inlineStr">
        <is>
          <t>Resolved</t>
        </is>
      </c>
      <c r="R85" s="44"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S85" s="43" t="inlineStr"/>
      <c r="T85" s="43" t="inlineStr"/>
      <c r="U85" s="43" t="inlineStr"/>
      <c r="V85" s="62" t="inlineStr">
        <is>
          <t>Pipeline Schedule</t>
        </is>
      </c>
      <c r="W85" s="43" t="inlineStr"/>
    </row>
    <row r="86">
      <c r="A86" s="46" t="inlineStr">
        <is>
          <t>IT-2999879</t>
        </is>
      </c>
      <c r="B86" s="46" t="inlineStr">
        <is>
          <t>IT-2999879</t>
        </is>
      </c>
      <c r="C86" s="46" t="inlineStr"/>
      <c r="D86" s="47" t="inlineStr">
        <is>
          <t>Peer review for BMC workflow pipelines</t>
        </is>
      </c>
      <c r="E86" s="47" t="inlineStr">
        <is>
          <t>The above pipelines need to be verified.</t>
        </is>
      </c>
      <c r="F86" s="47" t="inlineStr">
        <is>
          <t>I have to check this ticket now. I have reviewed the bmc pipelines.</t>
        </is>
      </c>
      <c r="G86" s="47" t="inlineStr">
        <is>
          <t>I have reviewed the bmc pipelines.</t>
        </is>
      </c>
      <c r="H86" s="46" t="inlineStr">
        <is>
          <t>Other</t>
        </is>
      </c>
      <c r="I86" s="46" t="inlineStr">
        <is>
          <t>Other</t>
        </is>
      </c>
      <c r="J86" s="46" t="inlineStr"/>
      <c r="K86" s="46" t="inlineStr">
        <is>
          <t>Closed</t>
        </is>
      </c>
      <c r="L86" s="46" t="inlineStr">
        <is>
          <t>2026-04-20</t>
        </is>
      </c>
      <c r="M86" s="46" t="inlineStr">
        <is>
          <t>2026-04-24</t>
        </is>
      </c>
      <c r="N86" s="46" t="inlineStr">
        <is>
          <t>Nile Production Support</t>
        </is>
      </c>
      <c r="O86" s="46" t="inlineStr">
        <is>
          <t>Unassigned</t>
        </is>
      </c>
      <c r="P86" s="46" t="inlineStr">
        <is>
          <t>Karakavalasa, SriVarshini</t>
        </is>
      </c>
      <c r="Q86" s="46" t="inlineStr">
        <is>
          <t>Done</t>
        </is>
      </c>
      <c r="R86" s="47" t="inlineStr">
        <is>
          <t>I have to check this ticket now. I have reviewed the bmc pipelines.</t>
        </is>
      </c>
      <c r="S86" s="46" t="inlineStr"/>
      <c r="T86" s="46" t="inlineStr"/>
      <c r="U86" s="46" t="inlineStr"/>
      <c r="V86" s="57" t="inlineStr">
        <is>
          <t>Other</t>
        </is>
      </c>
      <c r="W86" s="46" t="inlineStr">
        <is>
          <t>Yes</t>
        </is>
      </c>
    </row>
    <row r="87">
      <c r="A87" s="43" t="inlineStr">
        <is>
          <t>IT-2999839</t>
        </is>
      </c>
      <c r="B87" s="43" t="inlineStr">
        <is>
          <t>IT-2999839</t>
        </is>
      </c>
      <c r="C87" s="43" t="inlineStr"/>
      <c r="D87" s="44" t="inlineStr">
        <is>
          <t>Updating the pre-checks for the BMC workflow pipelines.</t>
        </is>
      </c>
      <c r="E87" s="44" t="inlineStr">
        <is>
          <t>Updating the pre-checks to use the pipeline version as “Latest” instead of specific versions. This ensures that any pipelines with modifications and newly published versions will automatically be picked up and considered in the workflow going forward.</t>
        </is>
      </c>
      <c r="F87" s="44" t="inlineStr"/>
      <c r="G87" s="44" t="inlineStr">
        <is>
          <t>Updated all prechecks to the **Latest** version for the pipelines, published them, verified that all respective child pipelines are published, and proceeded with scheduling.</t>
        </is>
      </c>
      <c r="H87" s="43" t="inlineStr">
        <is>
          <t>Other</t>
        </is>
      </c>
      <c r="I87" s="43" t="inlineStr">
        <is>
          <t>Other</t>
        </is>
      </c>
      <c r="J87" s="43" t="inlineStr"/>
      <c r="K87" s="43" t="inlineStr">
        <is>
          <t>Closed</t>
        </is>
      </c>
      <c r="L87" s="43" t="inlineStr">
        <is>
          <t>2026-04-20</t>
        </is>
      </c>
      <c r="M87" s="43" t="inlineStr">
        <is>
          <t>2026-04-24</t>
        </is>
      </c>
      <c r="N87" s="43" t="inlineStr">
        <is>
          <t>Nile Production Support</t>
        </is>
      </c>
      <c r="O87" s="43" t="inlineStr">
        <is>
          <t>Unassigned</t>
        </is>
      </c>
      <c r="P87" s="43" t="inlineStr">
        <is>
          <t>Karakavalasa, SriVarshini</t>
        </is>
      </c>
      <c r="Q87" s="43" t="inlineStr">
        <is>
          <t>Resolved</t>
        </is>
      </c>
      <c r="R87" s="44" t="inlineStr"/>
      <c r="S87" s="43" t="inlineStr"/>
      <c r="T87" s="43" t="inlineStr"/>
      <c r="U87" s="43" t="inlineStr"/>
      <c r="V87" s="58" t="inlineStr">
        <is>
          <t>Other</t>
        </is>
      </c>
      <c r="W87" s="43" t="inlineStr">
        <is>
          <t>Yes</t>
        </is>
      </c>
    </row>
    <row r="88">
      <c r="A88" s="46" t="inlineStr">
        <is>
          <t>IT-2999831</t>
        </is>
      </c>
      <c r="B88" s="46" t="inlineStr">
        <is>
          <t>IT-2999831</t>
        </is>
      </c>
      <c r="C88" s="46" t="inlineStr"/>
      <c r="D88" s="47" t="inlineStr">
        <is>
          <t>Premera OLA Configuration Update</t>
        </is>
      </c>
      <c r="E88" s="47" t="inlineStr">
        <is>
          <t>Update Premera OLA Configuration setup in ProdOps to avoid unnecessary pipeline status in monitoring tab.</t>
        </is>
      </c>
      <c r="F88" s="47"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G88" s="47" t="inlineStr"/>
      <c r="H88" s="46" t="inlineStr">
        <is>
          <t>Other</t>
        </is>
      </c>
      <c r="I88" s="46" t="inlineStr">
        <is>
          <t>Other</t>
        </is>
      </c>
      <c r="J88" s="46" t="inlineStr"/>
      <c r="K88" s="46" t="inlineStr">
        <is>
          <t>On Hold</t>
        </is>
      </c>
      <c r="L88" s="46" t="inlineStr">
        <is>
          <t>2026-04-20</t>
        </is>
      </c>
      <c r="M88" s="46" t="inlineStr">
        <is>
          <t>2026-05-05</t>
        </is>
      </c>
      <c r="N88" s="46" t="inlineStr">
        <is>
          <t>Nile Production Support</t>
        </is>
      </c>
      <c r="O88" s="46" t="inlineStr">
        <is>
          <t>Unassigned</t>
        </is>
      </c>
      <c r="P88" s="46" t="inlineStr">
        <is>
          <t>Kamsetty, Sravani</t>
        </is>
      </c>
      <c r="Q88" s="46" t="inlineStr">
        <is>
          <t>Unresolved</t>
        </is>
      </c>
      <c r="R88" s="47"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S88" s="46" t="inlineStr"/>
      <c r="T88" s="46" t="inlineStr"/>
      <c r="U88" s="46" t="inlineStr"/>
      <c r="V88" s="54" t="inlineStr">
        <is>
          <t>Configuration Issue</t>
        </is>
      </c>
      <c r="W88" s="46" t="inlineStr"/>
    </row>
    <row r="89">
      <c r="A89" s="43" t="inlineStr">
        <is>
          <t>IT-2999131</t>
        </is>
      </c>
      <c r="B89" s="43" t="inlineStr">
        <is>
          <t>IT-2999131</t>
        </is>
      </c>
      <c r="C89" s="43" t="inlineStr"/>
      <c r="D89" s="44" t="inlineStr">
        <is>
          <t>ppm-prospectmedical-idx-tba_professional_claims_GDF2_8_CDF2_8-"Pipeline failed for 2026/04/18""</t>
        </is>
      </c>
      <c r="E89" s="44" t="inlineStr">
        <is>
          <t>Pipeline Name: ppm-prospectmedical-idx-tba_professional_claims_GDF2_8_CDF2_8 Failure message: Please verify that the specified header or trailer pattern is accurate and that the source file is not empty, pattern : : @@TRAILER@@|</t>
        </is>
      </c>
      <c r="F89" s="44"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G89" s="44" t="inlineStr">
        <is>
          <t>Per Lea, client resent them as 4/20 files; All have been delivered successfully.</t>
        </is>
      </c>
      <c r="H89" s="43" t="inlineStr">
        <is>
          <t>Other</t>
        </is>
      </c>
      <c r="I89" s="43" t="inlineStr">
        <is>
          <t>Other</t>
        </is>
      </c>
      <c r="J89" s="43" t="inlineStr"/>
      <c r="K89" s="43" t="inlineStr">
        <is>
          <t>Closed</t>
        </is>
      </c>
      <c r="L89" s="43" t="inlineStr">
        <is>
          <t>2026-04-18</t>
        </is>
      </c>
      <c r="M89" s="43" t="inlineStr">
        <is>
          <t>2026-04-30</t>
        </is>
      </c>
      <c r="N89" s="43" t="inlineStr">
        <is>
          <t>Nile Production Support</t>
        </is>
      </c>
      <c r="O89" s="43" t="inlineStr">
        <is>
          <t>Unassigned</t>
        </is>
      </c>
      <c r="P89" s="43" t="inlineStr">
        <is>
          <t>Limbu, Sajan</t>
        </is>
      </c>
      <c r="Q89" s="43" t="inlineStr">
        <is>
          <t>Resolved</t>
        </is>
      </c>
      <c r="R89" s="44"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S89" s="43" t="inlineStr"/>
      <c r="T89" s="43" t="inlineStr"/>
      <c r="U89" s="43" t="inlineStr"/>
      <c r="V89" s="65" t="inlineStr">
        <is>
          <t>Metric drop</t>
        </is>
      </c>
      <c r="W89" s="43" t="inlineStr"/>
    </row>
    <row r="90">
      <c r="A90" s="46" t="inlineStr">
        <is>
          <t>IT-2999102</t>
        </is>
      </c>
      <c r="B90" s="46" t="inlineStr">
        <is>
          <t>IT-2999102</t>
        </is>
      </c>
      <c r="C90" s="46" t="inlineStr"/>
      <c r="D90" s="47" t="inlineStr">
        <is>
          <t>WELEX - History PROF &amp; INST. files failed - 04/18/2026</t>
        </is>
      </c>
      <c r="E90" s="47"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F90" s="47" t="inlineStr">
        <is>
          <t>Hi Gudala, Kumaraswamy We have requested client to send the replacement file. Email ref: Requesting replacement file for Wellmark QC test tba file we haven't heard anything yet from the client so, we have again sent a follow up email to the client.</t>
        </is>
      </c>
      <c r="G90" s="47" t="inlineStr"/>
      <c r="H90" s="46" t="inlineStr"/>
      <c r="I90" s="46" t="inlineStr"/>
      <c r="J90" s="46" t="inlineStr"/>
      <c r="K90" s="46" t="inlineStr">
        <is>
          <t>Awaiting User Info</t>
        </is>
      </c>
      <c r="L90" s="46" t="inlineStr">
        <is>
          <t>2026-04-18</t>
        </is>
      </c>
      <c r="M90" s="46" t="inlineStr">
        <is>
          <t>2026-05-06</t>
        </is>
      </c>
      <c r="N90" s="46" t="inlineStr">
        <is>
          <t>Nile Production Support</t>
        </is>
      </c>
      <c r="O90" s="46" t="inlineStr">
        <is>
          <t>Unassigned</t>
        </is>
      </c>
      <c r="P90" s="46" t="inlineStr">
        <is>
          <t>Gudala, Kumaraswamy</t>
        </is>
      </c>
      <c r="Q90" s="46" t="inlineStr">
        <is>
          <t>Unresolved</t>
        </is>
      </c>
      <c r="R90" s="47" t="inlineStr">
        <is>
          <t>Hi Gudala, Kumaraswamy We have requested client to send the replacement file. Email ref: Requesting replacement file for Wellmark QC test tba file we haven't heard anything yet from the client so, we have again sent a follow up email to the client.</t>
        </is>
      </c>
      <c r="S90" s="46" t="inlineStr"/>
      <c r="T90" s="46" t="inlineStr"/>
      <c r="U90" s="46" t="inlineStr"/>
      <c r="V90" s="50" t="inlineStr">
        <is>
          <t>File Issue</t>
        </is>
      </c>
      <c r="W90" s="46" t="inlineStr"/>
    </row>
    <row r="91">
      <c r="A91" s="43" t="inlineStr">
        <is>
          <t>IT-2998225</t>
        </is>
      </c>
      <c r="B91" s="43" t="inlineStr">
        <is>
          <t>IT-2998225</t>
        </is>
      </c>
      <c r="C91" s="43" t="inlineStr"/>
      <c r="D91" s="44" t="inlineStr">
        <is>
          <t>UHC-Cirrus: Pipeline Failure | Claim_EDI &amp; cir_Claim_Detail | Data Date: 2026/04/06 | Source file schema is not matching</t>
        </is>
      </c>
      <c r="E91" s="44" t="inlineStr">
        <is>
          <t>** UPDATED ISSUE ******4/20/26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 ** PREVIOUS ISSUES *********** Background: We are re-running the historical files for UHC-CIRRUS for data date 2026/04/06. The following pipelines below failed with the error message below. Pipeline: dm-uhc-cirrus-actian_migration_entity_cir_cladeny , Version: V1 , Data Date: 2026/04/06 Error message : Could not execute broadcast in 300 secs. You can increase the timeout for broadcasts via spark.sql.broadcastTimeout or disable broadcast join by setting spark.sql.autoBroadcastJoinThreshold to -1 Pipeline: dm-uhc-cirrus-actian_migration_entity_cir_Claim_Detail , Version: V1.2 , Data Date: 2026/04/06 ** Error Message : Could not execute broadcast in 300 secs. You can increase the timeout for broadcasts via spark.sql.broadcastTimeout or disable broadcast join by setting spark.sql.autoBroadcastJoinThreshold to -1 Thanks, Enid</t>
        </is>
      </c>
      <c r="F91" s="44"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G91" s="44" t="inlineStr">
        <is>
          <t>Created a new module to handle and pass spark configuration updates. Also asked EDM to ask DATABASE Admin to free up some space as well as clear transaction logs for that DB</t>
        </is>
      </c>
      <c r="H91" s="43" t="inlineStr">
        <is>
          <t>Other</t>
        </is>
      </c>
      <c r="I91" s="43" t="inlineStr">
        <is>
          <t>Other</t>
        </is>
      </c>
      <c r="J91" s="43" t="inlineStr"/>
      <c r="K91" s="43" t="inlineStr">
        <is>
          <t>Closed</t>
        </is>
      </c>
      <c r="L91" s="43" t="inlineStr">
        <is>
          <t>2026-04-17</t>
        </is>
      </c>
      <c r="M91" s="43" t="inlineStr">
        <is>
          <t>2026-04-21</t>
        </is>
      </c>
      <c r="N91" s="43" t="inlineStr">
        <is>
          <t>Nile Production Support</t>
        </is>
      </c>
      <c r="O91" s="43" t="inlineStr">
        <is>
          <t>Unassigned</t>
        </is>
      </c>
      <c r="P91" s="43" t="inlineStr">
        <is>
          <t>Enid Ike</t>
        </is>
      </c>
      <c r="Q91" s="43" t="inlineStr">
        <is>
          <t>Resolved</t>
        </is>
      </c>
      <c r="R91" s="44"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S91" s="43" t="inlineStr"/>
      <c r="T91" s="43" t="inlineStr"/>
      <c r="U91" s="43" t="inlineStr"/>
      <c r="V91" s="66" t="inlineStr">
        <is>
          <t>DB Issue</t>
        </is>
      </c>
      <c r="W91" s="43" t="inlineStr"/>
    </row>
    <row r="92">
      <c r="A92" s="46" t="inlineStr">
        <is>
          <t>IT-2997312</t>
        </is>
      </c>
      <c r="B92" s="46" t="inlineStr">
        <is>
          <t>IT-2997312</t>
        </is>
      </c>
      <c r="C92" s="46" t="inlineStr"/>
      <c r="D92" s="47" t="inlineStr">
        <is>
          <t>Please Move Elist spooler to Event Based set up</t>
        </is>
      </c>
      <c r="E92" s="47" t="inlineStr">
        <is>
          <t>Please Move Elist spooler to Event Based set up. spooler name: accentsep-cigna-misc-pp-qet-elist File name : PP_QET_ELIST.*.zip.pgp</t>
        </is>
      </c>
      <c r="F92" s="47" t="inlineStr">
        <is>
          <t>Ticket closed as [EDI2-16806] Please Move Elist spooler to Event Based set up - R&amp;D Jira - WDC raised on DI board</t>
        </is>
      </c>
      <c r="G92" s="47" t="inlineStr"/>
      <c r="H92" s="46" t="inlineStr">
        <is>
          <t>Other</t>
        </is>
      </c>
      <c r="I92" s="46" t="inlineStr">
        <is>
          <t>Other</t>
        </is>
      </c>
      <c r="J92" s="46" t="inlineStr"/>
      <c r="K92" s="46" t="inlineStr">
        <is>
          <t>Cancelled</t>
        </is>
      </c>
      <c r="L92" s="46" t="inlineStr">
        <is>
          <t>2026-04-17</t>
        </is>
      </c>
      <c r="M92" s="46" t="inlineStr">
        <is>
          <t>2026-04-30</t>
        </is>
      </c>
      <c r="N92" s="46" t="inlineStr">
        <is>
          <t>Nile Production Support</t>
        </is>
      </c>
      <c r="O92" s="46" t="inlineStr">
        <is>
          <t>Unassigned</t>
        </is>
      </c>
      <c r="P92" s="46" t="inlineStr">
        <is>
          <t>Nekkanti, Alekya</t>
        </is>
      </c>
      <c r="Q92" s="46" t="inlineStr">
        <is>
          <t>Cancelled</t>
        </is>
      </c>
      <c r="R92" s="47" t="inlineStr">
        <is>
          <t>Ticket closed as [EDI2-16806] Please Move Elist spooler to Event Based set up - R&amp;D Jira - WDC raised on DI board</t>
        </is>
      </c>
      <c r="S92" s="46" t="inlineStr"/>
      <c r="T92" s="46" t="inlineStr"/>
      <c r="U92" s="46" t="inlineStr"/>
      <c r="V92" s="57" t="inlineStr">
        <is>
          <t>Other</t>
        </is>
      </c>
      <c r="W92" s="46" t="inlineStr">
        <is>
          <t>Yes</t>
        </is>
      </c>
    </row>
    <row r="93">
      <c r="A93" s="43" t="inlineStr">
        <is>
          <t>IT-2996668</t>
        </is>
      </c>
      <c r="B93" s="43" t="inlineStr">
        <is>
          <t>IT-2996668</t>
        </is>
      </c>
      <c r="C93" s="43" t="inlineStr"/>
      <c r="D93" s="44" t="inlineStr">
        <is>
          <t>BMC Pipelines Review and Precheck Verification list for 15 clients.</t>
        </is>
      </c>
      <c r="E93" s="44" t="inlineStr">
        <is>
          <t>Review all BMC pipelines for 20 clients, verify module association, check precheck configuration (latest option), and identify non-module workflow calls, and shared missing pipelines list. Give demo on how to work on the pipeline changes to one of the client.</t>
        </is>
      </c>
      <c r="F93" s="44" t="inlineStr">
        <is>
          <t>Listed all the required BMC pipeline list and precheck conditions in a doc. Gathered all the restricted and unrestricted clients and assigned the clients with triage team to work on pipeline enhancements.</t>
        </is>
      </c>
      <c r="G93" s="44" t="inlineStr">
        <is>
          <t>Listed all the bmc optimization pipelines with precheck and publish status. closing this ticket.</t>
        </is>
      </c>
      <c r="H93" s="43" t="inlineStr">
        <is>
          <t>Other</t>
        </is>
      </c>
      <c r="I93" s="43" t="inlineStr">
        <is>
          <t>Other</t>
        </is>
      </c>
      <c r="J93" s="43" t="inlineStr"/>
      <c r="K93" s="43" t="inlineStr">
        <is>
          <t>Closed</t>
        </is>
      </c>
      <c r="L93" s="43" t="inlineStr">
        <is>
          <t>2026-04-17</t>
        </is>
      </c>
      <c r="M93" s="43" t="inlineStr">
        <is>
          <t>2026-04-20</t>
        </is>
      </c>
      <c r="N93" s="43" t="inlineStr">
        <is>
          <t>Nile Production Support</t>
        </is>
      </c>
      <c r="O93" s="43" t="inlineStr">
        <is>
          <t>Unassigned</t>
        </is>
      </c>
      <c r="P93" s="43" t="inlineStr">
        <is>
          <t>Kantimahanti, Ravisankar</t>
        </is>
      </c>
      <c r="Q93" s="43" t="inlineStr">
        <is>
          <t>Resolved</t>
        </is>
      </c>
      <c r="R93" s="44" t="inlineStr">
        <is>
          <t>Listed all the required BMC pipeline list and precheck conditions in a doc. Gathered all the restricted and unrestricted clients and assigned the clients with triage team to work on pipeline enhancements.</t>
        </is>
      </c>
      <c r="S93" s="43" t="inlineStr"/>
      <c r="T93" s="43" t="inlineStr"/>
      <c r="U93" s="43" t="inlineStr"/>
      <c r="V93" s="58" t="inlineStr">
        <is>
          <t>Other</t>
        </is>
      </c>
      <c r="W93" s="43" t="inlineStr">
        <is>
          <t>Yes</t>
        </is>
      </c>
    </row>
    <row r="94">
      <c r="A94" s="46" t="inlineStr">
        <is>
          <t>IT-2995627</t>
        </is>
      </c>
      <c r="B94" s="46" t="inlineStr">
        <is>
          <t>IT-2995627</t>
        </is>
      </c>
      <c r="C94" s="46" t="inlineStr"/>
      <c r="D94" s="47" t="inlineStr">
        <is>
          <t>adding 2 email list for HCSC and UHC Cirrus pipeline</t>
        </is>
      </c>
      <c r="E94" s="47" t="inlineStr">
        <is>
          <t>team, would you please help add EDM_RCA_UHC_CIRRUS@cotiviti.com to uhc cirrus nile ingestion failure email notification would you please help add EDM_RCA_HCSC@cotiviti.com to HCSC nile ingestion failure email notification Thanks</t>
        </is>
      </c>
      <c r="F94" s="47"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G94" s="47" t="inlineStr"/>
      <c r="H94" s="46" t="inlineStr">
        <is>
          <t>Other</t>
        </is>
      </c>
      <c r="I94" s="46" t="inlineStr">
        <is>
          <t>Other</t>
        </is>
      </c>
      <c r="J94" s="46" t="inlineStr"/>
      <c r="K94" s="46" t="inlineStr">
        <is>
          <t>On Hold</t>
        </is>
      </c>
      <c r="L94" s="46" t="inlineStr">
        <is>
          <t>2026-04-16</t>
        </is>
      </c>
      <c r="M94" s="46" t="inlineStr">
        <is>
          <t>2026-05-04</t>
        </is>
      </c>
      <c r="N94" s="46" t="inlineStr">
        <is>
          <t>Nile Production Support</t>
        </is>
      </c>
      <c r="O94" s="46" t="inlineStr">
        <is>
          <t>Unassigned</t>
        </is>
      </c>
      <c r="P94" s="46" t="inlineStr">
        <is>
          <t>Tang, Chao</t>
        </is>
      </c>
      <c r="Q94" s="46" t="inlineStr">
        <is>
          <t>Unresolved</t>
        </is>
      </c>
      <c r="R94" s="47"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S94" s="46" t="inlineStr"/>
      <c r="T94" s="46" t="inlineStr"/>
      <c r="U94" s="46" t="inlineStr"/>
      <c r="V94" s="57" t="inlineStr">
        <is>
          <t>Other</t>
        </is>
      </c>
      <c r="W94" s="46" t="inlineStr">
        <is>
          <t>Yes</t>
        </is>
      </c>
    </row>
    <row r="95">
      <c r="A95" s="43" t="inlineStr">
        <is>
          <t>IT-2995289</t>
        </is>
      </c>
      <c r="B95" s="43" t="inlineStr">
        <is>
          <t>IT-2995289</t>
        </is>
      </c>
      <c r="C95" s="43" t="inlineStr"/>
      <c r="D95" s="44" t="inlineStr">
        <is>
          <t>Please provide location of Security Health Plan GDF claims professional history files</t>
        </is>
      </c>
      <c r="E95" s="44" t="inlineStr">
        <is>
          <t>I am no longer able to find the following GDF file for Security Health Plan in HUE/Hive/prod_niledataingestion_restricted: • securityhealth_qnxt_gdf_claims_professional_history_20251121_1 I need to be able to query against this file in HUE or another file name like it with a different date. This is needed for FWAPR Upgrade for Security Health Plan, which is No 4 on our list of Upgrades. Please let me know as soon as you can so I can proceed with the Gap analysis of claims for this project.</t>
        </is>
      </c>
      <c r="F95" s="44"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G95" s="44" t="inlineStr">
        <is>
          <t>Created a table</t>
        </is>
      </c>
      <c r="H95" s="43" t="inlineStr">
        <is>
          <t>Other</t>
        </is>
      </c>
      <c r="I95" s="43" t="inlineStr">
        <is>
          <t>Other</t>
        </is>
      </c>
      <c r="J95" s="43" t="inlineStr"/>
      <c r="K95" s="43" t="inlineStr">
        <is>
          <t>Closed</t>
        </is>
      </c>
      <c r="L95" s="43" t="inlineStr">
        <is>
          <t>2026-04-16</t>
        </is>
      </c>
      <c r="M95" s="43" t="inlineStr">
        <is>
          <t>2026-04-22</t>
        </is>
      </c>
      <c r="N95" s="43" t="inlineStr">
        <is>
          <t>Nile Production Support</t>
        </is>
      </c>
      <c r="O95" s="43" t="inlineStr">
        <is>
          <t>Unassigned</t>
        </is>
      </c>
      <c r="P95" s="43" t="inlineStr">
        <is>
          <t>Herman, Donna</t>
        </is>
      </c>
      <c r="Q95" s="43" t="inlineStr">
        <is>
          <t>Resolved</t>
        </is>
      </c>
      <c r="R95" s="44"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S95" s="43" t="inlineStr"/>
      <c r="T95" s="43" t="inlineStr"/>
      <c r="U95" s="43" t="inlineStr"/>
      <c r="V95" s="64" t="inlineStr">
        <is>
          <t>File Missing</t>
        </is>
      </c>
      <c r="W95" s="43" t="inlineStr"/>
    </row>
    <row r="96">
      <c r="A96" s="46" t="inlineStr">
        <is>
          <t>IT-2994837</t>
        </is>
      </c>
      <c r="B96" s="46" t="inlineStr">
        <is>
          <t>IT-2994837</t>
        </is>
      </c>
      <c r="C96" s="46" t="inlineStr"/>
      <c r="D96" s="47" t="inlineStr">
        <is>
          <t>Centene Amisys OLA Configurations.</t>
        </is>
      </c>
      <c r="E96" s="47" t="inlineStr">
        <is>
          <t>Centene Amisys OLA Configurations.</t>
        </is>
      </c>
      <c r="F96" s="47" t="inlineStr">
        <is>
          <t>Couple of OLA logs showing incorrect, Checked with engineering team. awaiting for an update.</t>
        </is>
      </c>
      <c r="G96" s="47" t="inlineStr">
        <is>
          <t>Configured as per the latest feature available.</t>
        </is>
      </c>
      <c r="H96" s="46" t="inlineStr">
        <is>
          <t>Other</t>
        </is>
      </c>
      <c r="I96" s="46" t="inlineStr">
        <is>
          <t>Other</t>
        </is>
      </c>
      <c r="J96" s="46" t="inlineStr"/>
      <c r="K96" s="46" t="inlineStr">
        <is>
          <t>Closed</t>
        </is>
      </c>
      <c r="L96" s="46" t="inlineStr">
        <is>
          <t>2026-04-16</t>
        </is>
      </c>
      <c r="M96" s="46" t="inlineStr">
        <is>
          <t>2026-05-04</t>
        </is>
      </c>
      <c r="N96" s="46" t="inlineStr">
        <is>
          <t>Nile Production Support</t>
        </is>
      </c>
      <c r="O96" s="46" t="inlineStr">
        <is>
          <t>Unassigned</t>
        </is>
      </c>
      <c r="P96" s="46" t="inlineStr">
        <is>
          <t>Jani, Shaik</t>
        </is>
      </c>
      <c r="Q96" s="46" t="inlineStr">
        <is>
          <t>Resolved</t>
        </is>
      </c>
      <c r="R96" s="47" t="inlineStr">
        <is>
          <t>Couple of OLA logs showing incorrect, Checked with engineering team. awaiting for an update.</t>
        </is>
      </c>
      <c r="S96" s="46" t="inlineStr"/>
      <c r="T96" s="46" t="inlineStr"/>
      <c r="U96" s="46" t="inlineStr"/>
      <c r="V96" s="57" t="inlineStr">
        <is>
          <t>Other</t>
        </is>
      </c>
      <c r="W96" s="46" t="inlineStr">
        <is>
          <t>Yes</t>
        </is>
      </c>
    </row>
    <row r="97">
      <c r="A97" s="43" t="inlineStr">
        <is>
          <t>IT-2994825</t>
        </is>
      </c>
      <c r="B97" s="43" t="inlineStr">
        <is>
          <t>IT-2994825</t>
        </is>
      </c>
      <c r="C97" s="43" t="inlineStr"/>
      <c r="D97" s="44" t="inlineStr">
        <is>
          <t>Caresource RCA OLA Configurations</t>
        </is>
      </c>
      <c r="E97" s="44" t="inlineStr">
        <is>
          <t>Caresource RCA OLA Configurations</t>
        </is>
      </c>
      <c r="F97" s="44" t="inlineStr">
        <is>
          <t>To check the results if working fine.</t>
        </is>
      </c>
      <c r="G97" s="44" t="inlineStr">
        <is>
          <t>Configured the OLA as per the new feature available.</t>
        </is>
      </c>
      <c r="H97" s="43" t="inlineStr">
        <is>
          <t>Other</t>
        </is>
      </c>
      <c r="I97" s="43" t="inlineStr">
        <is>
          <t>Other</t>
        </is>
      </c>
      <c r="J97" s="43" t="inlineStr"/>
      <c r="K97" s="43" t="inlineStr">
        <is>
          <t>Closed</t>
        </is>
      </c>
      <c r="L97" s="43" t="inlineStr">
        <is>
          <t>2026-04-16</t>
        </is>
      </c>
      <c r="M97" s="43" t="inlineStr">
        <is>
          <t>2026-05-04</t>
        </is>
      </c>
      <c r="N97" s="43" t="inlineStr">
        <is>
          <t>Nile Production Support</t>
        </is>
      </c>
      <c r="O97" s="43" t="inlineStr">
        <is>
          <t>Unassigned</t>
        </is>
      </c>
      <c r="P97" s="43" t="inlineStr">
        <is>
          <t>Jani, Shaik</t>
        </is>
      </c>
      <c r="Q97" s="43" t="inlineStr">
        <is>
          <t>Resolved</t>
        </is>
      </c>
      <c r="R97" s="44" t="inlineStr">
        <is>
          <t>To check the results if working fine.</t>
        </is>
      </c>
      <c r="S97" s="43" t="inlineStr"/>
      <c r="T97" s="43" t="inlineStr"/>
      <c r="U97" s="43" t="inlineStr"/>
      <c r="V97" s="58" t="inlineStr">
        <is>
          <t>Other</t>
        </is>
      </c>
      <c r="W97" s="43" t="inlineStr">
        <is>
          <t>Yes</t>
        </is>
      </c>
    </row>
    <row r="98">
      <c r="A98" s="46" t="inlineStr">
        <is>
          <t>IT-2994804</t>
        </is>
      </c>
      <c r="B98" s="46" t="inlineStr">
        <is>
          <t>IT-2994804</t>
        </is>
      </c>
      <c r="C98" s="46" t="inlineStr"/>
      <c r="D98" s="47" t="inlineStr">
        <is>
          <t>Banner file ingestion failed</t>
        </is>
      </c>
      <c r="E98" s="47" t="inlineStr">
        <is>
          <t>Banner file ingestion failed can you please help resolve this issue This pipeline seems failing every month, can we fix this issue for all future loads? Thanks</t>
        </is>
      </c>
      <c r="F98" s="47"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G98" s="47" t="inlineStr"/>
      <c r="H98" s="46" t="inlineStr"/>
      <c r="I98" s="46" t="inlineStr"/>
      <c r="J98" s="46" t="inlineStr"/>
      <c r="K98" s="46" t="inlineStr">
        <is>
          <t>Active</t>
        </is>
      </c>
      <c r="L98" s="46" t="inlineStr">
        <is>
          <t>2026-04-16</t>
        </is>
      </c>
      <c r="M98" s="46" t="inlineStr">
        <is>
          <t>2026-04-20</t>
        </is>
      </c>
      <c r="N98" s="46" t="inlineStr">
        <is>
          <t>Nile Production Support</t>
        </is>
      </c>
      <c r="O98" s="46" t="inlineStr">
        <is>
          <t>Unassigned</t>
        </is>
      </c>
      <c r="P98" s="46" t="inlineStr">
        <is>
          <t>Tang, Chao</t>
        </is>
      </c>
      <c r="Q98" s="46" t="inlineStr">
        <is>
          <t>Unresolved</t>
        </is>
      </c>
      <c r="R98" s="47"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S98" s="46" t="inlineStr"/>
      <c r="T98" s="46" t="inlineStr"/>
      <c r="U98" s="46" t="inlineStr"/>
      <c r="V98" s="50" t="inlineStr">
        <is>
          <t>File Issue</t>
        </is>
      </c>
      <c r="W98" s="46" t="inlineStr"/>
    </row>
    <row r="99">
      <c r="A99" s="43" t="inlineStr">
        <is>
          <t>IT-2994792</t>
        </is>
      </c>
      <c r="B99" s="43" t="inlineStr">
        <is>
          <t>IT-2994792</t>
        </is>
      </c>
      <c r="C99" s="43" t="inlineStr"/>
      <c r="D99" s="44" t="inlineStr">
        <is>
          <t>Decomission HAMP EPICTAPESTRY PPM</t>
        </is>
      </c>
      <c r="E99" s="44" t="inlineStr">
        <is>
          <t>Decomission HAMP EPICTAPESTRY PPM</t>
        </is>
      </c>
      <c r="F99" s="44" t="inlineStr">
        <is>
          <t>RE_ DAILY_ Missing File_ HAMP TBA professional File not received (20260405).msg</t>
        </is>
      </c>
      <c r="G99" s="44" t="inlineStr">
        <is>
          <t>Removed the pipeline and spoolers from the Nile application and tracker.</t>
        </is>
      </c>
      <c r="H99" s="43" t="inlineStr">
        <is>
          <t>Other</t>
        </is>
      </c>
      <c r="I99" s="43" t="inlineStr">
        <is>
          <t>Other</t>
        </is>
      </c>
      <c r="J99" s="43" t="inlineStr"/>
      <c r="K99" s="43" t="inlineStr">
        <is>
          <t>Closed</t>
        </is>
      </c>
      <c r="L99" s="43" t="inlineStr">
        <is>
          <t>2026-04-16</t>
        </is>
      </c>
      <c r="M99" s="43" t="inlineStr">
        <is>
          <t>2026-04-16</t>
        </is>
      </c>
      <c r="N99" s="43" t="inlineStr">
        <is>
          <t>Nile Production Support</t>
        </is>
      </c>
      <c r="O99" s="43" t="inlineStr">
        <is>
          <t>Unassigned</t>
        </is>
      </c>
      <c r="P99" s="43" t="inlineStr">
        <is>
          <t>Courville, Lea</t>
        </is>
      </c>
      <c r="Q99" s="43" t="inlineStr">
        <is>
          <t>Resolved</t>
        </is>
      </c>
      <c r="R99" s="44" t="inlineStr">
        <is>
          <t>RE_ DAILY_ Missing File_ HAMP TBA professional File not received (20260405).msg</t>
        </is>
      </c>
      <c r="S99" s="43" t="inlineStr"/>
      <c r="T99" s="43" t="inlineStr"/>
      <c r="U99" s="43" t="inlineStr"/>
      <c r="V99" s="58" t="inlineStr">
        <is>
          <t>Other</t>
        </is>
      </c>
      <c r="W99" s="43" t="inlineStr">
        <is>
          <t>Yes</t>
        </is>
      </c>
    </row>
    <row r="100">
      <c r="A100" s="46" t="inlineStr">
        <is>
          <t>IT-2994782</t>
        </is>
      </c>
      <c r="B100" s="46" t="inlineStr">
        <is>
          <t>IT-2994782</t>
        </is>
      </c>
      <c r="C100" s="46" t="inlineStr"/>
      <c r="D100" s="47" t="inlineStr">
        <is>
          <t>CalOptima Facets OLA Configuration</t>
        </is>
      </c>
      <c r="E100" s="47" t="inlineStr">
        <is>
          <t>CalOptima Facets OLA Configuration</t>
        </is>
      </c>
      <c r="F100" s="47" t="inlineStr"/>
      <c r="G100" s="47" t="inlineStr">
        <is>
          <t>Configured and updated accordingly.</t>
        </is>
      </c>
      <c r="H100" s="46" t="inlineStr">
        <is>
          <t>Other</t>
        </is>
      </c>
      <c r="I100" s="46" t="inlineStr">
        <is>
          <t>Other</t>
        </is>
      </c>
      <c r="J100" s="46" t="inlineStr"/>
      <c r="K100" s="46" t="inlineStr">
        <is>
          <t>Closed</t>
        </is>
      </c>
      <c r="L100" s="46" t="inlineStr">
        <is>
          <t>2026-04-16</t>
        </is>
      </c>
      <c r="M100" s="46" t="inlineStr">
        <is>
          <t>2026-04-16</t>
        </is>
      </c>
      <c r="N100" s="46" t="inlineStr">
        <is>
          <t>Nile Production Support</t>
        </is>
      </c>
      <c r="O100" s="46" t="inlineStr">
        <is>
          <t>Unassigned</t>
        </is>
      </c>
      <c r="P100" s="46" t="inlineStr">
        <is>
          <t>Jani, Shaik</t>
        </is>
      </c>
      <c r="Q100" s="46" t="inlineStr">
        <is>
          <t>Resolved</t>
        </is>
      </c>
      <c r="R100" s="47" t="inlineStr"/>
      <c r="S100" s="46" t="inlineStr"/>
      <c r="T100" s="46" t="inlineStr"/>
      <c r="U100" s="46" t="inlineStr"/>
      <c r="V100" s="54" t="inlineStr">
        <is>
          <t>Configuration Issue</t>
        </is>
      </c>
      <c r="W100" s="46" t="inlineStr"/>
    </row>
    <row r="101">
      <c r="A101" s="43" t="inlineStr">
        <is>
          <t>IT-2994567</t>
        </is>
      </c>
      <c r="B101" s="43" t="inlineStr">
        <is>
          <t>IT-2994567</t>
        </is>
      </c>
      <c r="C101" s="43" t="inlineStr"/>
      <c r="D101" s="44" t="inlineStr">
        <is>
          <t>please help hold off UHC Cirrus new weekly scheduled file ingestion which should start on 4/20</t>
        </is>
      </c>
      <c r="E101" s="44" t="inlineStr">
        <is>
          <t>please help hold off UHC Cirrus new weekly scheduled file ingestion which should start on 4/20</t>
        </is>
      </c>
      <c r="F101" s="44" t="inlineStr">
        <is>
          <t>Nile master spread sheet has been updated accordingly.</t>
        </is>
      </c>
      <c r="G101" s="44" t="inlineStr">
        <is>
          <t>task completed</t>
        </is>
      </c>
      <c r="H101" s="43" t="inlineStr">
        <is>
          <t>Other</t>
        </is>
      </c>
      <c r="I101" s="43" t="inlineStr">
        <is>
          <t>Other</t>
        </is>
      </c>
      <c r="J101" s="43" t="inlineStr"/>
      <c r="K101" s="43" t="inlineStr">
        <is>
          <t>Closed</t>
        </is>
      </c>
      <c r="L101" s="43" t="inlineStr">
        <is>
          <t>2026-04-16</t>
        </is>
      </c>
      <c r="M101" s="43" t="inlineStr">
        <is>
          <t>2026-04-17</t>
        </is>
      </c>
      <c r="N101" s="43" t="inlineStr">
        <is>
          <t>Nile Production Support</t>
        </is>
      </c>
      <c r="O101" s="43" t="inlineStr">
        <is>
          <t>Unassigned</t>
        </is>
      </c>
      <c r="P101" s="43" t="inlineStr">
        <is>
          <t>Tang, Chao</t>
        </is>
      </c>
      <c r="Q101" s="43" t="inlineStr">
        <is>
          <t>Resolved</t>
        </is>
      </c>
      <c r="R101" s="44" t="inlineStr">
        <is>
          <t>Nile master spread sheet has been updated accordingly.</t>
        </is>
      </c>
      <c r="S101" s="43" t="inlineStr"/>
      <c r="T101" s="43" t="inlineStr"/>
      <c r="U101" s="43" t="inlineStr"/>
      <c r="V101" s="53" t="inlineStr">
        <is>
          <t>File Issue</t>
        </is>
      </c>
      <c r="W101" s="43" t="inlineStr"/>
    </row>
    <row r="102">
      <c r="A102" s="46" t="inlineStr">
        <is>
          <t>IT-2994408</t>
        </is>
      </c>
      <c r="B102" s="46" t="inlineStr">
        <is>
          <t>IT-2994408</t>
        </is>
      </c>
      <c r="C102" s="46" t="inlineStr"/>
      <c r="D102" s="47" t="inlineStr">
        <is>
          <t>please resume cirrus file ingestion for 4/6/26</t>
        </is>
      </c>
      <c r="E102" s="47" t="inlineStr">
        <is>
          <t>please resume cirrus file ingestion</t>
        </is>
      </c>
      <c r="F102" s="47"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G102" s="47" t="inlineStr">
        <is>
          <t>task completed. closing out ticket</t>
        </is>
      </c>
      <c r="H102" s="46" t="inlineStr">
        <is>
          <t>Other</t>
        </is>
      </c>
      <c r="I102" s="46" t="inlineStr">
        <is>
          <t>Other</t>
        </is>
      </c>
      <c r="J102" s="46" t="inlineStr"/>
      <c r="K102" s="46" t="inlineStr">
        <is>
          <t>Closed</t>
        </is>
      </c>
      <c r="L102" s="46" t="inlineStr">
        <is>
          <t>2026-04-16</t>
        </is>
      </c>
      <c r="M102" s="46" t="inlineStr">
        <is>
          <t>2026-04-22</t>
        </is>
      </c>
      <c r="N102" s="46" t="inlineStr">
        <is>
          <t>Nile Production Support</t>
        </is>
      </c>
      <c r="O102" s="46" t="inlineStr">
        <is>
          <t>Unassigned</t>
        </is>
      </c>
      <c r="P102" s="46" t="inlineStr">
        <is>
          <t>Tang, Chao</t>
        </is>
      </c>
      <c r="Q102" s="46" t="inlineStr">
        <is>
          <t>Resolved</t>
        </is>
      </c>
      <c r="R102" s="47"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S102" s="46" t="inlineStr"/>
      <c r="T102" s="46" t="inlineStr"/>
      <c r="U102" s="46" t="inlineStr"/>
      <c r="V102" s="50" t="inlineStr">
        <is>
          <t>File Issue</t>
        </is>
      </c>
      <c r="W102" s="46" t="inlineStr"/>
    </row>
    <row r="103">
      <c r="A103" s="43" t="inlineStr">
        <is>
          <t>IT-2993547</t>
        </is>
      </c>
      <c r="B103" s="43" t="inlineStr">
        <is>
          <t>IT-2993547</t>
        </is>
      </c>
      <c r="C103" s="43" t="inlineStr"/>
      <c r="D103" s="44" t="inlineStr">
        <is>
          <t>OLA Configuration of daily pipeline (HCSCG &amp; HCDIL)</t>
        </is>
      </c>
      <c r="E103" s="44" t="inlineStr">
        <is>
          <t>Earlier setup for it After Update:</t>
        </is>
      </c>
      <c r="F103" s="44"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G103" s="44" t="inlineStr"/>
      <c r="H103" s="43" t="inlineStr">
        <is>
          <t>Other</t>
        </is>
      </c>
      <c r="I103" s="43" t="inlineStr">
        <is>
          <t>Other</t>
        </is>
      </c>
      <c r="J103" s="43" t="inlineStr"/>
      <c r="K103" s="43" t="inlineStr">
        <is>
          <t>Open</t>
        </is>
      </c>
      <c r="L103" s="43" t="inlineStr">
        <is>
          <t>2026-04-16</t>
        </is>
      </c>
      <c r="M103" s="43" t="inlineStr">
        <is>
          <t>2026-04-16</t>
        </is>
      </c>
      <c r="N103" s="43" t="inlineStr">
        <is>
          <t>Nile Production Support</t>
        </is>
      </c>
      <c r="O103" s="43" t="inlineStr">
        <is>
          <t>Unassigned</t>
        </is>
      </c>
      <c r="P103" s="43" t="inlineStr">
        <is>
          <t>Kandel, Amik</t>
        </is>
      </c>
      <c r="Q103" s="43" t="inlineStr">
        <is>
          <t>Unresolved</t>
        </is>
      </c>
      <c r="R103" s="44"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S103" s="43" t="inlineStr"/>
      <c r="T103" s="43" t="inlineStr"/>
      <c r="U103" s="43" t="inlineStr"/>
      <c r="V103" s="49" t="inlineStr">
        <is>
          <t>Configuration Issue</t>
        </is>
      </c>
      <c r="W103" s="43" t="inlineStr"/>
    </row>
    <row r="104">
      <c r="A104" s="46" t="inlineStr">
        <is>
          <t>IT-2993542</t>
        </is>
      </c>
      <c r="B104" s="46" t="inlineStr">
        <is>
          <t>IT-2993542</t>
        </is>
      </c>
      <c r="C104" s="46" t="inlineStr"/>
      <c r="D104" s="47" t="inlineStr">
        <is>
          <t>Update " SpecialtyPharmacyProviders" Table in MCL</t>
        </is>
      </c>
      <c r="E104" s="47"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F104" s="47"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G104" s="47" t="inlineStr">
        <is>
          <t>File processed successfully</t>
        </is>
      </c>
      <c r="H104" s="46" t="inlineStr">
        <is>
          <t>Other</t>
        </is>
      </c>
      <c r="I104" s="46" t="inlineStr">
        <is>
          <t>Other</t>
        </is>
      </c>
      <c r="J104" s="46" t="inlineStr"/>
      <c r="K104" s="46" t="inlineStr">
        <is>
          <t>Closed</t>
        </is>
      </c>
      <c r="L104" s="46" t="inlineStr">
        <is>
          <t>2026-04-16</t>
        </is>
      </c>
      <c r="M104" s="46" t="inlineStr">
        <is>
          <t>2026-04-20</t>
        </is>
      </c>
      <c r="N104" s="46" t="inlineStr">
        <is>
          <t>Nile Production Support</t>
        </is>
      </c>
      <c r="O104" s="46" t="inlineStr">
        <is>
          <t>Unassigned</t>
        </is>
      </c>
      <c r="P104" s="46" t="inlineStr">
        <is>
          <t>Bhegade, Shweta</t>
        </is>
      </c>
      <c r="Q104" s="46" t="inlineStr">
        <is>
          <t>Resolved</t>
        </is>
      </c>
      <c r="R104" s="47"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S104" s="46" t="inlineStr"/>
      <c r="T104" s="46" t="inlineStr"/>
      <c r="U104" s="46" t="inlineStr"/>
      <c r="V104" s="50" t="inlineStr">
        <is>
          <t>File Issue</t>
        </is>
      </c>
      <c r="W104" s="46" t="inlineStr"/>
    </row>
    <row r="105">
      <c r="A105" s="43" t="inlineStr">
        <is>
          <t>IT-2992898</t>
        </is>
      </c>
      <c r="B105" s="43" t="inlineStr">
        <is>
          <t>IT-2992898</t>
        </is>
      </c>
      <c r="C105" s="43" t="inlineStr"/>
      <c r="D105" s="44" t="inlineStr">
        <is>
          <t>Please e-process the Centene-Centene weekly member pipelines using the replacement files received today with file dates of 20260414</t>
        </is>
      </c>
      <c r="E105" s="44" t="inlineStr">
        <is>
          <t>Hello Nile Prod Team - Could someone please help to re-process the Centene-Centene weekly member pipelines using the replacement files received today with file dates of 20260414 (please disregard the files with file dates of 20260412) Pipelines: dm-centene-centene-actian_migration_member_enrollment dm-centene-centene-actian_migration_cob dm-centene-centene-actian_migration_member_division dm-centene-centene-actian_migration_codeset dm-centene-centene-actian_migration_alt_carrier</t>
        </is>
      </c>
      <c r="F105" s="44"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G105" s="44" t="inlineStr">
        <is>
          <t>we already processed the pipeline for that date and closed this ticket.</t>
        </is>
      </c>
      <c r="H105" s="43" t="inlineStr">
        <is>
          <t>Other</t>
        </is>
      </c>
      <c r="I105" s="43" t="inlineStr">
        <is>
          <t>Other</t>
        </is>
      </c>
      <c r="J105" s="43" t="inlineStr"/>
      <c r="K105" s="43" t="inlineStr">
        <is>
          <t>Closed</t>
        </is>
      </c>
      <c r="L105" s="43" t="inlineStr">
        <is>
          <t>2026-04-15</t>
        </is>
      </c>
      <c r="M105" s="43" t="inlineStr">
        <is>
          <t>2026-04-28</t>
        </is>
      </c>
      <c r="N105" s="43" t="inlineStr">
        <is>
          <t>Nile Production Support</t>
        </is>
      </c>
      <c r="O105" s="43" t="inlineStr">
        <is>
          <t>Unassigned</t>
        </is>
      </c>
      <c r="P105" s="43" t="inlineStr">
        <is>
          <t>Castro, Ronald</t>
        </is>
      </c>
      <c r="Q105" s="43" t="inlineStr">
        <is>
          <t>Resolved</t>
        </is>
      </c>
      <c r="R105" s="44"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S105" s="43" t="inlineStr"/>
      <c r="T105" s="43" t="inlineStr"/>
      <c r="U105" s="43" t="inlineStr"/>
      <c r="V105" s="56" t="inlineStr">
        <is>
          <t>Spooler issue</t>
        </is>
      </c>
      <c r="W105" s="43" t="inlineStr"/>
    </row>
    <row r="106">
      <c r="A106" s="46" t="inlineStr">
        <is>
          <t>IT-2992725</t>
        </is>
      </c>
      <c r="B106" s="46" t="inlineStr">
        <is>
          <t>IT-2992725</t>
        </is>
      </c>
      <c r="C106" s="46" t="inlineStr"/>
      <c r="D106" s="47" t="inlineStr">
        <is>
          <t>Add [EDM_RCA_Fidelis@cotiviti.com] to the distribution list of new platform lineage report</t>
        </is>
      </c>
      <c r="E106" s="47" t="inlineStr">
        <is>
          <t>Hello Team , we do not receive lineage report for new platform fidelis for following. Member , Claim , Provider , NoTouch We receive lineage report only for PBM [prod - fideliscare - centene - claims - pharmacy]</t>
        </is>
      </c>
      <c r="F106" s="47"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G106" s="47" t="inlineStr"/>
      <c r="H106" s="46" t="inlineStr">
        <is>
          <t>Other</t>
        </is>
      </c>
      <c r="I106" s="46" t="inlineStr">
        <is>
          <t>Other</t>
        </is>
      </c>
      <c r="J106" s="46" t="inlineStr"/>
      <c r="K106" s="46" t="inlineStr">
        <is>
          <t>On Hold</t>
        </is>
      </c>
      <c r="L106" s="46" t="inlineStr">
        <is>
          <t>2026-04-15</t>
        </is>
      </c>
      <c r="M106" s="46" t="inlineStr">
        <is>
          <t>2026-05-06</t>
        </is>
      </c>
      <c r="N106" s="46" t="inlineStr">
        <is>
          <t>Nile Production Support</t>
        </is>
      </c>
      <c r="O106" s="46" t="inlineStr">
        <is>
          <t>Unassigned</t>
        </is>
      </c>
      <c r="P106" s="46" t="inlineStr">
        <is>
          <t>Hirpara, Meera</t>
        </is>
      </c>
      <c r="Q106" s="46" t="inlineStr">
        <is>
          <t>Unresolved</t>
        </is>
      </c>
      <c r="R106" s="47"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S106" s="46" t="inlineStr"/>
      <c r="T106" s="46" t="inlineStr"/>
      <c r="U106" s="46" t="inlineStr"/>
      <c r="V106" s="57" t="inlineStr">
        <is>
          <t>Other</t>
        </is>
      </c>
      <c r="W106" s="46" t="inlineStr">
        <is>
          <t>Yes</t>
        </is>
      </c>
    </row>
    <row r="107">
      <c r="A107" s="43" t="inlineStr">
        <is>
          <t>IT-2992632</t>
        </is>
      </c>
      <c r="B107" s="43" t="inlineStr">
        <is>
          <t>IT-2992632</t>
        </is>
      </c>
      <c r="C107" s="43" t="inlineStr"/>
      <c r="D107" s="44" t="inlineStr">
        <is>
          <t>Please create a spooler and pipeline</t>
        </is>
      </c>
      <c r="E107" s="44"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F107" s="44" t="inlineStr">
        <is>
          <t>creeated spooler accentsep-sodexo-inc96L3-CDL Created pipeline: accent-separation-anthem-Sodexo-inc96L3-CDL</t>
        </is>
      </c>
      <c r="G107" s="44" t="inlineStr">
        <is>
          <t>Created a new spooler and new pipeline for ACCENT Verified file delivery and scheduled the spoolers and pipelines accordingly</t>
        </is>
      </c>
      <c r="H107" s="43" t="inlineStr">
        <is>
          <t>Other</t>
        </is>
      </c>
      <c r="I107" s="43" t="inlineStr">
        <is>
          <t>Other</t>
        </is>
      </c>
      <c r="J107" s="43" t="inlineStr"/>
      <c r="K107" s="43" t="inlineStr">
        <is>
          <t>Closed</t>
        </is>
      </c>
      <c r="L107" s="43" t="inlineStr">
        <is>
          <t>2026-04-15</t>
        </is>
      </c>
      <c r="M107" s="43" t="inlineStr">
        <is>
          <t>2026-04-23</t>
        </is>
      </c>
      <c r="N107" s="43" t="inlineStr">
        <is>
          <t>Nile Production Support</t>
        </is>
      </c>
      <c r="O107" s="43" t="inlineStr">
        <is>
          <t>Unassigned</t>
        </is>
      </c>
      <c r="P107" s="43" t="inlineStr">
        <is>
          <t>Nekkanti, Alekya</t>
        </is>
      </c>
      <c r="Q107" s="43" t="inlineStr">
        <is>
          <t>Resolved</t>
        </is>
      </c>
      <c r="R107" s="44" t="inlineStr">
        <is>
          <t>creeated spooler accentsep-sodexo-inc96L3-CDL Created pipeline: accent-separation-anthem-Sodexo-inc96L3-CDL</t>
        </is>
      </c>
      <c r="S107" s="43" t="inlineStr"/>
      <c r="T107" s="43" t="inlineStr"/>
      <c r="U107" s="43" t="inlineStr"/>
      <c r="V107" s="58" t="inlineStr">
        <is>
          <t>Other</t>
        </is>
      </c>
      <c r="W107" s="43" t="inlineStr">
        <is>
          <t>Yes</t>
        </is>
      </c>
    </row>
    <row r="108">
      <c r="A108" s="46" t="inlineStr">
        <is>
          <t>IT-2992309</t>
        </is>
      </c>
      <c r="B108" s="46" t="inlineStr">
        <is>
          <t>IT-2992309</t>
        </is>
      </c>
      <c r="C108" s="46" t="inlineStr"/>
      <c r="D108" s="47" t="inlineStr">
        <is>
          <t>Urgent Request: The Kaiser team is missing the latest Dataload which should have a max claim_paid_date of 03/27/2026</t>
        </is>
      </c>
      <c r="E108" s="47"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F108" s="47" t="inlineStr">
        <is>
          <t>Closing. Per Melly S., should be in Nile Onboarding team. Not sure if IT-XXXXX tickets is the right forum for these tickets. Sajjan is working with operations to get this resolved. per comment: 15/Apr/26 5:14 PM EDT</t>
        </is>
      </c>
      <c r="G108" s="47" t="inlineStr"/>
      <c r="H108" s="46" t="inlineStr"/>
      <c r="I108" s="46" t="inlineStr"/>
      <c r="J108" s="46" t="inlineStr"/>
      <c r="K108" s="46" t="inlineStr">
        <is>
          <t>Cancelled</t>
        </is>
      </c>
      <c r="L108" s="46" t="inlineStr">
        <is>
          <t>2026-04-15</t>
        </is>
      </c>
      <c r="M108" s="46" t="inlineStr">
        <is>
          <t>2026-04-15</t>
        </is>
      </c>
      <c r="N108" s="46" t="inlineStr">
        <is>
          <t>Nile Production Support</t>
        </is>
      </c>
      <c r="O108" s="46" t="inlineStr">
        <is>
          <t>Unassigned</t>
        </is>
      </c>
      <c r="P108" s="46" t="inlineStr">
        <is>
          <t>Sondota, James</t>
        </is>
      </c>
      <c r="Q108" s="46" t="inlineStr">
        <is>
          <t>Cancelled</t>
        </is>
      </c>
      <c r="R108" s="47" t="inlineStr">
        <is>
          <t>Closing. Per Melly S., should be in Nile Onboarding team. Not sure if IT-XXXXX tickets is the right forum for these tickets. Sajjan is working with operations to get this resolved. per comment: 15/Apr/26 5:14 PM EDT</t>
        </is>
      </c>
      <c r="S108" s="46" t="inlineStr"/>
      <c r="T108" s="46" t="inlineStr"/>
      <c r="U108" s="46" t="inlineStr"/>
      <c r="V108" s="57" t="inlineStr">
        <is>
          <t>Other</t>
        </is>
      </c>
      <c r="W108" s="46" t="inlineStr">
        <is>
          <t>Yes</t>
        </is>
      </c>
    </row>
    <row r="109">
      <c r="A109" s="43" t="inlineStr">
        <is>
          <t>IT-2992008</t>
        </is>
      </c>
      <c r="B109" s="43" t="inlineStr">
        <is>
          <t>IT-2992008</t>
        </is>
      </c>
      <c r="C109" s="43" t="inlineStr"/>
      <c r="D109" s="44" t="inlineStr">
        <is>
          <t>BMC Pipelines Review and Precheck Verification list for 20 clients.</t>
        </is>
      </c>
      <c r="E109" s="44" t="inlineStr">
        <is>
          <t>Reviewed all BMC pipelines for 20 clients, verified module association, checked precheck configuration (latest option), identified non-module workflow calls, and shared missing pipelines with Krishna.</t>
        </is>
      </c>
      <c r="F109" s="44"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G109" s="44" t="inlineStr">
        <is>
          <t>I have provided list of bmc optimization pipelines and closed this ticket.</t>
        </is>
      </c>
      <c r="H109" s="43" t="inlineStr">
        <is>
          <t>Other</t>
        </is>
      </c>
      <c r="I109" s="43" t="inlineStr">
        <is>
          <t>Other</t>
        </is>
      </c>
      <c r="J109" s="43" t="inlineStr"/>
      <c r="K109" s="43" t="inlineStr">
        <is>
          <t>Closed</t>
        </is>
      </c>
      <c r="L109" s="43" t="inlineStr">
        <is>
          <t>2026-04-15</t>
        </is>
      </c>
      <c r="M109" s="43" t="inlineStr">
        <is>
          <t>2026-04-17</t>
        </is>
      </c>
      <c r="N109" s="43" t="inlineStr">
        <is>
          <t>Nile Production Support</t>
        </is>
      </c>
      <c r="O109" s="43" t="inlineStr">
        <is>
          <t>Unassigned</t>
        </is>
      </c>
      <c r="P109" s="43" t="inlineStr">
        <is>
          <t>Kantimahanti, Ravisankar</t>
        </is>
      </c>
      <c r="Q109" s="43" t="inlineStr">
        <is>
          <t>Resolved</t>
        </is>
      </c>
      <c r="R109" s="44"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S109" s="43" t="inlineStr"/>
      <c r="T109" s="43" t="inlineStr"/>
      <c r="U109" s="43" t="inlineStr"/>
      <c r="V109" s="58" t="inlineStr">
        <is>
          <t>Other</t>
        </is>
      </c>
      <c r="W109" s="43" t="inlineStr">
        <is>
          <t>Yes</t>
        </is>
      </c>
    </row>
    <row r="110">
      <c r="A110" s="46" t="inlineStr">
        <is>
          <t>IT-2991529</t>
        </is>
      </c>
      <c r="B110" s="46" t="inlineStr">
        <is>
          <t>IT-2991529</t>
        </is>
      </c>
      <c r="C110" s="46" t="inlineStr"/>
      <c r="D110" s="47" t="inlineStr">
        <is>
          <t>Please Run These MCL Pipelines</t>
        </is>
      </c>
      <c r="E110" s="47"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F110" s="47" t="inlineStr">
        <is>
          <t>Hello Kamsetty, Sravani . I have reviewed the tables for these pipelines, and the data looks good. You can close this ticket. Thanks for your hard work! Mike Thanks for the confirmation, Closing the ticket.</t>
        </is>
      </c>
      <c r="G110" s="47" t="inlineStr">
        <is>
          <t>Files loaded successfully. Thanks for the confirmation, Closing the ticket.</t>
        </is>
      </c>
      <c r="H110" s="46" t="inlineStr">
        <is>
          <t>Other</t>
        </is>
      </c>
      <c r="I110" s="46" t="inlineStr">
        <is>
          <t>Other</t>
        </is>
      </c>
      <c r="J110" s="46" t="inlineStr"/>
      <c r="K110" s="46" t="inlineStr">
        <is>
          <t>Closed</t>
        </is>
      </c>
      <c r="L110" s="46" t="inlineStr">
        <is>
          <t>2026-04-15</t>
        </is>
      </c>
      <c r="M110" s="46" t="inlineStr">
        <is>
          <t>2026-04-17</t>
        </is>
      </c>
      <c r="N110" s="46" t="inlineStr">
        <is>
          <t>Nile Production Support</t>
        </is>
      </c>
      <c r="O110" s="46" t="inlineStr">
        <is>
          <t>Unassigned</t>
        </is>
      </c>
      <c r="P110" s="46" t="inlineStr">
        <is>
          <t>Deynarian, Michael</t>
        </is>
      </c>
      <c r="Q110" s="46" t="inlineStr">
        <is>
          <t>Resolved</t>
        </is>
      </c>
      <c r="R110" s="47" t="inlineStr">
        <is>
          <t>Hello Kamsetty, Sravani . I have reviewed the tables for these pipelines, and the data looks good. You can close this ticket. Thanks for your hard work! Mike Thanks for the confirmation, Closing the ticket.</t>
        </is>
      </c>
      <c r="S110" s="46" t="inlineStr"/>
      <c r="T110" s="46" t="inlineStr"/>
      <c r="U110" s="46" t="inlineStr"/>
      <c r="V110" s="57" t="inlineStr">
        <is>
          <t>Other</t>
        </is>
      </c>
      <c r="W110" s="46" t="inlineStr">
        <is>
          <t>Yes</t>
        </is>
      </c>
    </row>
    <row r="111">
      <c r="A111" s="43" t="inlineStr">
        <is>
          <t>IT-2991475</t>
        </is>
      </c>
      <c r="B111" s="43" t="inlineStr">
        <is>
          <t>IT-2991475</t>
        </is>
      </c>
      <c r="C111" s="43" t="inlineStr"/>
      <c r="D111" s="44" t="inlineStr">
        <is>
          <t>DC-Pine - Pause Cirrus File Ingestion</t>
        </is>
      </c>
      <c r="E111" s="44" t="inlineStr">
        <is>
          <t>Hello Nile Team, Could you please pause the quarterly refresh file ingestion for UHC Cirrus. Also, please stop the one that is currently ongoing. It is slowing down Cosmos data load process which is due today. Thanks,</t>
        </is>
      </c>
      <c r="F111" s="44" t="inlineStr"/>
      <c r="G111" s="44" t="inlineStr">
        <is>
          <t>paused</t>
        </is>
      </c>
      <c r="H111" s="43" t="inlineStr">
        <is>
          <t>Other</t>
        </is>
      </c>
      <c r="I111" s="43" t="inlineStr">
        <is>
          <t>Other</t>
        </is>
      </c>
      <c r="J111" s="43" t="inlineStr"/>
      <c r="K111" s="43" t="inlineStr">
        <is>
          <t>Closed</t>
        </is>
      </c>
      <c r="L111" s="43" t="inlineStr">
        <is>
          <t>2026-04-15</t>
        </is>
      </c>
      <c r="M111" s="43" t="inlineStr">
        <is>
          <t>2026-04-16</t>
        </is>
      </c>
      <c r="N111" s="43" t="inlineStr">
        <is>
          <t>Nile Production Support</t>
        </is>
      </c>
      <c r="O111" s="43" t="inlineStr">
        <is>
          <t>Unassigned</t>
        </is>
      </c>
      <c r="P111" s="43" t="inlineStr">
        <is>
          <t>Dongol, Priya</t>
        </is>
      </c>
      <c r="Q111" s="43" t="inlineStr">
        <is>
          <t>Resolved</t>
        </is>
      </c>
      <c r="R111" s="44" t="inlineStr"/>
      <c r="S111" s="43" t="inlineStr"/>
      <c r="T111" s="43" t="inlineStr"/>
      <c r="U111" s="43" t="inlineStr"/>
      <c r="V111" s="53" t="inlineStr">
        <is>
          <t>File Issue</t>
        </is>
      </c>
      <c r="W111" s="43" t="inlineStr"/>
    </row>
    <row r="112">
      <c r="A112" s="46" t="inlineStr">
        <is>
          <t>IT-2991388</t>
        </is>
      </c>
      <c r="B112" s="46" t="inlineStr">
        <is>
          <t>IT-2991388</t>
        </is>
      </c>
      <c r="C112" s="46" t="inlineStr"/>
      <c r="D112" s="47" t="inlineStr">
        <is>
          <t>BCBSTN Notouch Prod Transition Documents</t>
        </is>
      </c>
      <c r="E112" s="47" t="inlineStr">
        <is>
          <t>Hello Team, Please find the prod transition checklist documents for BCBSTN Notouch below: Checklist: BCBSTN-Notouch_DataIgestion_Production_Job_Transition_Checklist.docx Escalation Doc: BCBS Tennessee - Joint Data Escalation Plan 20251027 (2).xlsx I have created a ticket for document review: https://jira2.cotiviti.com/browse/NDICR-5410 Please let me know if there are any questions.</t>
        </is>
      </c>
      <c r="F112" s="47" t="inlineStr"/>
      <c r="G112" s="47" t="inlineStr">
        <is>
          <t>Transition call scheduled after reviewing the documents and details recorded.</t>
        </is>
      </c>
      <c r="H112" s="46" t="inlineStr">
        <is>
          <t>Other</t>
        </is>
      </c>
      <c r="I112" s="46" t="inlineStr">
        <is>
          <t>Other</t>
        </is>
      </c>
      <c r="J112" s="46" t="inlineStr"/>
      <c r="K112" s="46" t="inlineStr">
        <is>
          <t>Closed</t>
        </is>
      </c>
      <c r="L112" s="46" t="inlineStr">
        <is>
          <t>2026-04-15</t>
        </is>
      </c>
      <c r="M112" s="46" t="inlineStr">
        <is>
          <t>2026-04-16</t>
        </is>
      </c>
      <c r="N112" s="46" t="inlineStr">
        <is>
          <t>Nile Production Support</t>
        </is>
      </c>
      <c r="O112" s="46" t="inlineStr">
        <is>
          <t>Unassigned</t>
        </is>
      </c>
      <c r="P112" s="46" t="inlineStr">
        <is>
          <t>Shaik, Parveena</t>
        </is>
      </c>
      <c r="Q112" s="46" t="inlineStr">
        <is>
          <t>Resolved</t>
        </is>
      </c>
      <c r="R112" s="47" t="inlineStr"/>
      <c r="S112" s="46" t="inlineStr"/>
      <c r="T112" s="46" t="inlineStr"/>
      <c r="U112" s="46" t="inlineStr"/>
      <c r="V112" s="61" t="inlineStr">
        <is>
          <t>Spooler issue</t>
        </is>
      </c>
      <c r="W112" s="46" t="inlineStr"/>
    </row>
    <row r="113">
      <c r="A113" s="43" t="inlineStr">
        <is>
          <t>IT-2990408</t>
        </is>
      </c>
      <c r="B113" s="43" t="inlineStr">
        <is>
          <t>IT-2990408</t>
        </is>
      </c>
      <c r="C113" s="43" t="inlineStr"/>
      <c r="D113" s="44" t="inlineStr">
        <is>
          <t>Request to Schedule dm-aetna-hrp-actian_migration_payment to Avoid Manual Trigger Dependency</t>
        </is>
      </c>
      <c r="E113" s="44" t="inlineStr">
        <is>
          <t>For the pipeline dm-aetna-hrp-actian_migration_payment , an update was previously implemented (Version V1.7 ) to support processing of null-value files. Currently, every Monday we receive low-size (KB) files, and the pipeline requires manual triggering each time. If the manual trigger is missed, it blocks the subsequent data date from running, causing delays in downstream processing. Request: Kindly review the current pipeline configuration and, if all updates are functioning as expected, schedule the pipeline for automatic execution to eliminate the need for manual intervention and prevent future processing delays. Business Impact: Manual dependency on triggering increases the risk of missed runs and may block subsequent data date processing. Automating the schedule will ensure timely execution and reduce operational risk.</t>
        </is>
      </c>
      <c r="F113" s="44" t="inlineStr">
        <is>
          <t>Created, published and scheduld vrsion 1.7</t>
        </is>
      </c>
      <c r="G113" s="44" t="inlineStr">
        <is>
          <t>Created, tested, published and scheduled Version 1.7</t>
        </is>
      </c>
      <c r="H113" s="43" t="inlineStr">
        <is>
          <t>Other</t>
        </is>
      </c>
      <c r="I113" s="43" t="inlineStr">
        <is>
          <t>Other</t>
        </is>
      </c>
      <c r="J113" s="43" t="inlineStr"/>
      <c r="K113" s="43" t="inlineStr">
        <is>
          <t>Closed</t>
        </is>
      </c>
      <c r="L113" s="43" t="inlineStr">
        <is>
          <t>2026-04-15</t>
        </is>
      </c>
      <c r="M113" s="43" t="inlineStr">
        <is>
          <t>2026-04-16</t>
        </is>
      </c>
      <c r="N113" s="43" t="inlineStr">
        <is>
          <t>Nile Production Support</t>
        </is>
      </c>
      <c r="O113" s="43" t="inlineStr">
        <is>
          <t>Unassigned</t>
        </is>
      </c>
      <c r="P113" s="43" t="inlineStr">
        <is>
          <t>Raya, Birajan</t>
        </is>
      </c>
      <c r="Q113" s="43" t="inlineStr">
        <is>
          <t>Resolved</t>
        </is>
      </c>
      <c r="R113" s="44" t="inlineStr">
        <is>
          <t>Created, published and scheduld vrsion 1.7</t>
        </is>
      </c>
      <c r="S113" s="43" t="inlineStr"/>
      <c r="T113" s="43" t="inlineStr"/>
      <c r="U113" s="43" t="inlineStr"/>
      <c r="V113" s="49" t="inlineStr">
        <is>
          <t>Configuration Issue</t>
        </is>
      </c>
      <c r="W113" s="43" t="inlineStr"/>
    </row>
    <row r="114">
      <c r="A114" s="46" t="inlineStr">
        <is>
          <t>IT-2989834</t>
        </is>
      </c>
      <c r="B114" s="46" t="inlineStr">
        <is>
          <t>IT-2989834</t>
        </is>
      </c>
      <c r="C114" s="46" t="inlineStr"/>
      <c r="D114" s="47" t="inlineStr">
        <is>
          <t>CIGMC :: cigmc_daily_incoming_180050.04-14-2026_1910 file failure :: 04/14/2026</t>
        </is>
      </c>
      <c r="E114" s="47" t="inlineStr">
        <is>
          <t>Hi Onshore Nile Team, The following file failed for excessive failed lines. File : cigmc_daily_incoming_180050.04-14-2026_1910 QA Status : FAILED Reason : FAILED - Excessive failed lines (~100%) The QA Log: QA Test Name: excessive_fails Pre/Post Run: 1 Result: FAILED - Excessive failed lines (~100%) The Run Results Log: PayerShort: CIGMC MemberId: 780884923*01 DependentId: 00 TaxId: 382084239 ProviderId: ClaimId: 250542425703 Error: PROVIDER_ID is blank CIGMC|T|0029266|20260414|1|P TRAILER|1|20260414|230050 I appreciate your help! Andrea</t>
        </is>
      </c>
      <c r="F114" s="47" t="inlineStr">
        <is>
          <t>I have verified that the pipeline and spooler processes are running successfully in our on-premises environment. Based on Email, client verified from they are side check provider id is blank. They will resubmitted the pipeline. Jani acknowledged this email.</t>
        </is>
      </c>
      <c r="G114" s="47" t="inlineStr">
        <is>
          <t>we successfully proceed the pipeline from our end. closed this ticket.</t>
        </is>
      </c>
      <c r="H114" s="46" t="inlineStr">
        <is>
          <t>Other</t>
        </is>
      </c>
      <c r="I114" s="46" t="inlineStr">
        <is>
          <t>Other</t>
        </is>
      </c>
      <c r="J114" s="46" t="inlineStr"/>
      <c r="K114" s="46" t="inlineStr">
        <is>
          <t>Closed</t>
        </is>
      </c>
      <c r="L114" s="46" t="inlineStr">
        <is>
          <t>2026-04-14</t>
        </is>
      </c>
      <c r="M114" s="46" t="inlineStr">
        <is>
          <t>2026-04-16</t>
        </is>
      </c>
      <c r="N114" s="46" t="inlineStr">
        <is>
          <t>Nile Production Support</t>
        </is>
      </c>
      <c r="O114" s="46" t="inlineStr">
        <is>
          <t>Unassigned</t>
        </is>
      </c>
      <c r="P114" s="46" t="inlineStr">
        <is>
          <t>Edwards, Andrea</t>
        </is>
      </c>
      <c r="Q114" s="46" t="inlineStr">
        <is>
          <t>Resolved</t>
        </is>
      </c>
      <c r="R114" s="47" t="inlineStr">
        <is>
          <t>I have verified that the pipeline and spooler processes are running successfully in our on-premises environment. Based on Email, client verified from they are side check provider id is blank. They will resubmitted the pipeline. Jani acknowledged this email.</t>
        </is>
      </c>
      <c r="S114" s="46" t="inlineStr"/>
      <c r="T114" s="46" t="inlineStr"/>
      <c r="U114" s="46" t="inlineStr"/>
      <c r="V114" s="61" t="inlineStr">
        <is>
          <t>Spooler issue</t>
        </is>
      </c>
      <c r="W114" s="46" t="inlineStr"/>
    </row>
    <row r="115">
      <c r="A115" s="43" t="inlineStr">
        <is>
          <t>IT-2989822</t>
        </is>
      </c>
      <c r="B115" s="43" t="inlineStr">
        <is>
          <t>IT-2989822</t>
        </is>
      </c>
      <c r="C115" s="43" t="inlineStr"/>
      <c r="D115" s="44" t="inlineStr">
        <is>
          <t>Please add Aetna ASH into Master Tracking Sheet</t>
        </is>
      </c>
      <c r="E115" s="44" t="inlineStr">
        <is>
          <t>Hi Jani, Would you mind adding Aetna ASH entries? I think we had a transition meeting on March 26th. Thx so much Jani melly</t>
        </is>
      </c>
      <c r="F115" s="44"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G115" s="44" t="inlineStr">
        <is>
          <t>Details recorded in a sheet</t>
        </is>
      </c>
      <c r="H115" s="43" t="inlineStr">
        <is>
          <t>Other</t>
        </is>
      </c>
      <c r="I115" s="43" t="inlineStr">
        <is>
          <t>Other</t>
        </is>
      </c>
      <c r="J115" s="43" t="inlineStr"/>
      <c r="K115" s="43" t="inlineStr">
        <is>
          <t>Closed</t>
        </is>
      </c>
      <c r="L115" s="43" t="inlineStr">
        <is>
          <t>2026-04-14</t>
        </is>
      </c>
      <c r="M115" s="43" t="inlineStr">
        <is>
          <t>2026-04-15</t>
        </is>
      </c>
      <c r="N115" s="43" t="inlineStr">
        <is>
          <t>Nile Production Support</t>
        </is>
      </c>
      <c r="O115" s="43" t="inlineStr">
        <is>
          <t>Unassigned</t>
        </is>
      </c>
      <c r="P115" s="43" t="inlineStr">
        <is>
          <t>Suryani, Melly</t>
        </is>
      </c>
      <c r="Q115" s="43" t="inlineStr">
        <is>
          <t>Resolved</t>
        </is>
      </c>
      <c r="R115" s="44"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S115" s="43" t="inlineStr"/>
      <c r="T115" s="43" t="inlineStr"/>
      <c r="U115" s="43" t="inlineStr"/>
      <c r="V115" s="58" t="inlineStr">
        <is>
          <t>Other</t>
        </is>
      </c>
      <c r="W115" s="43" t="inlineStr">
        <is>
          <t>Yes</t>
        </is>
      </c>
    </row>
    <row r="116">
      <c r="A116" s="46" t="inlineStr">
        <is>
          <t>IT-2989517</t>
        </is>
      </c>
      <c r="B116" s="46" t="inlineStr">
        <is>
          <t>IT-2989517</t>
        </is>
      </c>
      <c r="C116" s="46" t="inlineStr"/>
      <c r="D116" s="47" t="inlineStr">
        <is>
          <t>Fidelis Centene : Weekly(Member/Claims/Provider) schedule update for NILE spooler with pipelines</t>
        </is>
      </c>
      <c r="E116" s="47"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F116" s="47"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G116" s="47"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H116" s="46" t="inlineStr">
        <is>
          <t>Other</t>
        </is>
      </c>
      <c r="I116" s="46" t="inlineStr">
        <is>
          <t>Other</t>
        </is>
      </c>
      <c r="J116" s="46" t="inlineStr"/>
      <c r="K116" s="46" t="inlineStr">
        <is>
          <t>Closed</t>
        </is>
      </c>
      <c r="L116" s="46" t="inlineStr">
        <is>
          <t>2026-04-14</t>
        </is>
      </c>
      <c r="M116" s="46" t="inlineStr">
        <is>
          <t>2026-04-20</t>
        </is>
      </c>
      <c r="N116" s="46" t="inlineStr">
        <is>
          <t>Nile Production Support</t>
        </is>
      </c>
      <c r="O116" s="46" t="inlineStr">
        <is>
          <t>Unassigned</t>
        </is>
      </c>
      <c r="P116" s="46" t="inlineStr">
        <is>
          <t>Hirpara, Meera</t>
        </is>
      </c>
      <c r="Q116" s="46" t="inlineStr">
        <is>
          <t>Resolved</t>
        </is>
      </c>
      <c r="R116" s="47"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S116" s="46" t="inlineStr"/>
      <c r="T116" s="46" t="inlineStr"/>
      <c r="U116" s="46" t="inlineStr"/>
      <c r="V116" s="57" t="inlineStr">
        <is>
          <t>Other</t>
        </is>
      </c>
      <c r="W116" s="46" t="inlineStr">
        <is>
          <t>Yes</t>
        </is>
      </c>
    </row>
    <row r="117">
      <c r="A117" s="43" t="inlineStr">
        <is>
          <t>IT-2989515</t>
        </is>
      </c>
      <c r="B117" s="43" t="inlineStr">
        <is>
          <t>IT-2989515</t>
        </is>
      </c>
      <c r="C117" s="43" t="inlineStr"/>
      <c r="D117" s="44" t="inlineStr">
        <is>
          <t>Pipeline: dm-uhc-cirrus-actian_migration_entity_cir_cladeny , Version: V1, Data Date: 2026/01/12 | Broadcasts via spark.sql.broadcastTimeout Error</t>
        </is>
      </c>
      <c r="E117" s="44" t="inlineStr">
        <is>
          <t>klhsakfljhsajkd.hflkdsjhfldskjfh;dskjhfn;dsklfndsjklfh</t>
        </is>
      </c>
      <c r="F117" s="44" t="inlineStr">
        <is>
          <t>testing. not needed. thank you</t>
        </is>
      </c>
      <c r="G117" s="44" t="inlineStr"/>
      <c r="H117" s="43" t="inlineStr">
        <is>
          <t>Other</t>
        </is>
      </c>
      <c r="I117" s="43" t="inlineStr">
        <is>
          <t>Other</t>
        </is>
      </c>
      <c r="J117" s="43" t="inlineStr"/>
      <c r="K117" s="43" t="inlineStr">
        <is>
          <t>Cancelled</t>
        </is>
      </c>
      <c r="L117" s="43" t="inlineStr">
        <is>
          <t>2026-04-14</t>
        </is>
      </c>
      <c r="M117" s="43" t="inlineStr">
        <is>
          <t>2026-04-14</t>
        </is>
      </c>
      <c r="N117" s="43" t="inlineStr">
        <is>
          <t>Nile Production Support</t>
        </is>
      </c>
      <c r="O117" s="43" t="inlineStr">
        <is>
          <t>Unassigned</t>
        </is>
      </c>
      <c r="P117" s="43" t="inlineStr">
        <is>
          <t>Enid Ike</t>
        </is>
      </c>
      <c r="Q117" s="43" t="inlineStr">
        <is>
          <t>Cancelled</t>
        </is>
      </c>
      <c r="R117" s="44" t="inlineStr">
        <is>
          <t>testing. not needed. thank you</t>
        </is>
      </c>
      <c r="S117" s="43" t="inlineStr"/>
      <c r="T117" s="43" t="inlineStr"/>
      <c r="U117" s="43" t="inlineStr"/>
      <c r="V117" s="58" t="inlineStr">
        <is>
          <t>Other</t>
        </is>
      </c>
      <c r="W117" s="43" t="inlineStr">
        <is>
          <t>Yes</t>
        </is>
      </c>
    </row>
    <row r="118">
      <c r="A118" s="46" t="inlineStr">
        <is>
          <t>IT-2989509</t>
        </is>
      </c>
      <c r="B118" s="46" t="inlineStr">
        <is>
          <t>IT-2989509</t>
        </is>
      </c>
      <c r="C118" s="46" t="inlineStr"/>
      <c r="D118" s="47" t="inlineStr">
        <is>
          <t>Molina RCCV Data Mapping</t>
        </is>
      </c>
      <c r="E118" s="47" t="inlineStr">
        <is>
          <t>The Molina RCCV data feed is mapped to GDF from the RCA data. Please advise which fields from the RCA data are mapped to CH_ALLOWED_DRG_CODE, CH_SUBMITTED_DRG_CODE, CH_ALLOWED_DRG_SEVERITY_OF_ILLNESS, CH_SUBMITTED_DRG_SEVERITY_OF_ILLNESS. If there is any logic being applied to the data (removing leading zeros, pulling first n characters, etc), please provide that as well.</t>
        </is>
      </c>
      <c r="F118" s="47"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G118" s="47" t="inlineStr">
        <is>
          <t>All investigative work on NILE Side is done. DRG mapping change will go on a separate ticket.</t>
        </is>
      </c>
      <c r="H118" s="46" t="inlineStr">
        <is>
          <t>Other</t>
        </is>
      </c>
      <c r="I118" s="46" t="inlineStr">
        <is>
          <t>Other</t>
        </is>
      </c>
      <c r="J118" s="46" t="inlineStr"/>
      <c r="K118" s="46" t="inlineStr">
        <is>
          <t>Closed</t>
        </is>
      </c>
      <c r="L118" s="46" t="inlineStr">
        <is>
          <t>2026-04-14</t>
        </is>
      </c>
      <c r="M118" s="46" t="inlineStr">
        <is>
          <t>2026-04-24</t>
        </is>
      </c>
      <c r="N118" s="46" t="inlineStr">
        <is>
          <t>Nile Production Support</t>
        </is>
      </c>
      <c r="O118" s="46" t="inlineStr">
        <is>
          <t>Unassigned</t>
        </is>
      </c>
      <c r="P118" s="46" t="inlineStr">
        <is>
          <t>Arevalo, Anna</t>
        </is>
      </c>
      <c r="Q118" s="46" t="inlineStr">
        <is>
          <t>Resolved</t>
        </is>
      </c>
      <c r="R118" s="47"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S118" s="46" t="inlineStr"/>
      <c r="T118" s="46" t="inlineStr"/>
      <c r="U118" s="46" t="inlineStr"/>
      <c r="V118" s="54" t="inlineStr">
        <is>
          <t>Configuration Issue</t>
        </is>
      </c>
      <c r="W118" s="46" t="inlineStr"/>
    </row>
    <row r="119">
      <c r="A119" s="43" t="inlineStr">
        <is>
          <t>IT-2989421</t>
        </is>
      </c>
      <c r="B119" s="43" t="inlineStr">
        <is>
          <t>IT-2989421</t>
        </is>
      </c>
      <c r="C119" s="43" t="inlineStr"/>
      <c r="D119" s="44" t="inlineStr">
        <is>
          <t>Dataload : BCBS_MI_MEDADV claim file count</t>
        </is>
      </c>
      <c r="E119" s="44" t="inlineStr">
        <is>
          <t>I have noticed that the file spooled from Nile is different from the files available in FTP( i.e : crossed checked with size and record count manually ) , leading to a discrepancy in the record count. Could you please let us know what could be the possible causes for such an issue? For now we have respooled the files and loaded and the count match .</t>
        </is>
      </c>
      <c r="F119" s="44"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G119" s="44" t="inlineStr"/>
      <c r="H119" s="43" t="inlineStr">
        <is>
          <t>Other</t>
        </is>
      </c>
      <c r="I119" s="43" t="inlineStr">
        <is>
          <t>Other</t>
        </is>
      </c>
      <c r="J119" s="43" t="inlineStr"/>
      <c r="K119" s="43" t="inlineStr">
        <is>
          <t>In Progress (HD1)</t>
        </is>
      </c>
      <c r="L119" s="43" t="inlineStr">
        <is>
          <t>2026-04-14</t>
        </is>
      </c>
      <c r="M119" s="43" t="inlineStr">
        <is>
          <t>2026-04-16</t>
        </is>
      </c>
      <c r="N119" s="43" t="inlineStr">
        <is>
          <t>Nile Production Support</t>
        </is>
      </c>
      <c r="O119" s="43" t="inlineStr">
        <is>
          <t>Unassigned</t>
        </is>
      </c>
      <c r="P119" s="43" t="inlineStr">
        <is>
          <t>KC, Sanjeeb</t>
        </is>
      </c>
      <c r="Q119" s="43" t="inlineStr">
        <is>
          <t>Unresolved</t>
        </is>
      </c>
      <c r="R119" s="44"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S119" s="43" t="inlineStr"/>
      <c r="T119" s="43" t="inlineStr"/>
      <c r="U119" s="43" t="inlineStr"/>
      <c r="V119" s="60" t="inlineStr">
        <is>
          <t>Unmatched raw data count</t>
        </is>
      </c>
      <c r="W119" s="43" t="inlineStr"/>
    </row>
    <row r="120">
      <c r="A120" s="46" t="inlineStr">
        <is>
          <t>IT-2988798</t>
        </is>
      </c>
      <c r="B120" s="46" t="inlineStr">
        <is>
          <t>IT-2988798</t>
        </is>
      </c>
      <c r="C120" s="46" t="inlineStr"/>
      <c r="D120" s="47" t="inlineStr">
        <is>
          <t>Unmatched mbr_enrollment raw data count | Pipeline: dm-centene-centene-actian_migration_member_enrollment Data Date: 2026/04/12 | Zero Ingested Row Count</t>
        </is>
      </c>
      <c r="E120" s="47"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F120" s="47" t="inlineStr">
        <is>
          <t>closing out ticket. Ticket not needed. Duplicate</t>
        </is>
      </c>
      <c r="G120" s="47" t="inlineStr">
        <is>
          <t>closing out ticket. Ticket not needed. Duplicate</t>
        </is>
      </c>
      <c r="H120" s="46" t="inlineStr">
        <is>
          <t>Other</t>
        </is>
      </c>
      <c r="I120" s="46" t="inlineStr">
        <is>
          <t>Other</t>
        </is>
      </c>
      <c r="J120" s="46" t="inlineStr"/>
      <c r="K120" s="46" t="inlineStr">
        <is>
          <t>Closed</t>
        </is>
      </c>
      <c r="L120" s="46" t="inlineStr">
        <is>
          <t>2026-04-14</t>
        </is>
      </c>
      <c r="M120" s="46" t="inlineStr">
        <is>
          <t>2026-04-14</t>
        </is>
      </c>
      <c r="N120" s="46" t="inlineStr">
        <is>
          <t>Nile Production Support</t>
        </is>
      </c>
      <c r="O120" s="46" t="inlineStr">
        <is>
          <t>Unassigned</t>
        </is>
      </c>
      <c r="P120" s="46" t="inlineStr">
        <is>
          <t>Enid Ike</t>
        </is>
      </c>
      <c r="Q120" s="46" t="inlineStr">
        <is>
          <t>Resolved</t>
        </is>
      </c>
      <c r="R120" s="47" t="inlineStr">
        <is>
          <t>closing out ticket. Ticket not needed. Duplicate</t>
        </is>
      </c>
      <c r="S120" s="46" t="inlineStr"/>
      <c r="T120" s="46" t="inlineStr"/>
      <c r="U120" s="46" t="inlineStr"/>
      <c r="V120" s="57" t="inlineStr">
        <is>
          <t>Other</t>
        </is>
      </c>
      <c r="W120" s="46" t="inlineStr">
        <is>
          <t>Yes</t>
        </is>
      </c>
    </row>
    <row r="121">
      <c r="A121" s="43" t="inlineStr">
        <is>
          <t>IT-2988756</t>
        </is>
      </c>
      <c r="B121" s="43" t="inlineStr">
        <is>
          <t>IT-2988756</t>
        </is>
      </c>
      <c r="C121" s="43" t="inlineStr"/>
      <c r="D121" s="44" t="inlineStr">
        <is>
          <t>uhc -cirrus pipeline failed due to schema mismatch(2026/04/06)</t>
        </is>
      </c>
      <c r="E121" s="44" t="inlineStr">
        <is>
          <t>The below list pipelines failed due to following error: Error Message: "Source file schema is not matching with the Table Schema, Please check Column names and their Data-types" Pipelines Name: dm-uhc-cirrus-actian_migration_entity_cir_claim_event dm-uhc-cirrus-actian_migration_entity_Claim_EDI dm-uhc-cirrus-actian_migration_cir_claim_pricingdetailtier dm-uhc-cirrus-actian_migration_entity_cir_claim_provider dm-uhc-cirrus-actian_migration_entity_cir_Claim_Detail</t>
        </is>
      </c>
      <c r="F121" s="44" t="inlineStr"/>
      <c r="G121" s="44" t="inlineStr">
        <is>
          <t>tasks completed</t>
        </is>
      </c>
      <c r="H121" s="43" t="inlineStr">
        <is>
          <t>Other</t>
        </is>
      </c>
      <c r="I121" s="43" t="inlineStr">
        <is>
          <t>Other</t>
        </is>
      </c>
      <c r="J121" s="43" t="inlineStr"/>
      <c r="K121" s="43" t="inlineStr">
        <is>
          <t>Closed</t>
        </is>
      </c>
      <c r="L121" s="43" t="inlineStr">
        <is>
          <t>2026-04-14</t>
        </is>
      </c>
      <c r="M121" s="43" t="inlineStr">
        <is>
          <t>2026-05-06</t>
        </is>
      </c>
      <c r="N121" s="43" t="inlineStr">
        <is>
          <t>Nile Production Support</t>
        </is>
      </c>
      <c r="O121" s="43" t="inlineStr">
        <is>
          <t>Unassigned</t>
        </is>
      </c>
      <c r="P121" s="43" t="inlineStr">
        <is>
          <t>Limbu, Sajan</t>
        </is>
      </c>
      <c r="Q121" s="43" t="inlineStr">
        <is>
          <t>Resolved</t>
        </is>
      </c>
      <c r="R121" s="44" t="inlineStr"/>
      <c r="S121" s="43" t="inlineStr"/>
      <c r="T121" s="43" t="inlineStr"/>
      <c r="U121" s="43" t="inlineStr"/>
      <c r="V121" s="45" t="inlineStr">
        <is>
          <t>Schema issue</t>
        </is>
      </c>
      <c r="W121" s="43" t="inlineStr"/>
    </row>
    <row r="122">
      <c r="A122" s="46" t="inlineStr">
        <is>
          <t>IT-2988718</t>
        </is>
      </c>
      <c r="B122" s="46" t="inlineStr">
        <is>
          <t>IT-2988718</t>
        </is>
      </c>
      <c r="C122" s="46" t="inlineStr"/>
      <c r="D122" s="47" t="inlineStr">
        <is>
          <t>Tufts weekly files pipelines loading older files past previous month.</t>
        </is>
      </c>
      <c r="E122" s="47" t="inlineStr">
        <is>
          <t>Hello Nile Production Support, For Tufts monthly data load, I noticed for some weekly files pipelines ( com_prov , com_group and cob_claims ) seem to load files older than previous month. Please see attached report. These are weekly files and it is loading older files past previous month's files. Can someone please look into this? It is not causing any issues with downstream processes but want to make sure it does not slow down the process eventually loading weeks of files.</t>
        </is>
      </c>
      <c r="F122" s="47"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G122" s="47" t="inlineStr"/>
      <c r="H122" s="46" t="inlineStr">
        <is>
          <t>Other</t>
        </is>
      </c>
      <c r="I122" s="46" t="inlineStr">
        <is>
          <t>Other</t>
        </is>
      </c>
      <c r="J122" s="46" t="inlineStr"/>
      <c r="K122" s="46" t="inlineStr">
        <is>
          <t>On Hold</t>
        </is>
      </c>
      <c r="L122" s="46" t="inlineStr">
        <is>
          <t>2026-04-14</t>
        </is>
      </c>
      <c r="M122" s="46" t="inlineStr">
        <is>
          <t>2026-04-20</t>
        </is>
      </c>
      <c r="N122" s="46" t="inlineStr">
        <is>
          <t>Nile Production Support</t>
        </is>
      </c>
      <c r="O122" s="46" t="inlineStr">
        <is>
          <t>Unassigned</t>
        </is>
      </c>
      <c r="P122" s="46" t="inlineStr">
        <is>
          <t>Trivedi Shukla, Zarna</t>
        </is>
      </c>
      <c r="Q122" s="46" t="inlineStr">
        <is>
          <t>Unresolved</t>
        </is>
      </c>
      <c r="R122" s="47"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S122" s="46" t="inlineStr"/>
      <c r="T122" s="46" t="inlineStr"/>
      <c r="U122" s="46" t="inlineStr"/>
      <c r="V122" s="67" t="inlineStr">
        <is>
          <t>Metric drop</t>
        </is>
      </c>
      <c r="W122" s="46" t="inlineStr"/>
    </row>
    <row r="123">
      <c r="A123" s="43" t="inlineStr">
        <is>
          <t>IT-2988716</t>
        </is>
      </c>
      <c r="B123" s="43" t="inlineStr">
        <is>
          <t>IT-2988716</t>
        </is>
      </c>
      <c r="C123" s="43" t="inlineStr"/>
      <c r="D123" s="44" t="inlineStr">
        <is>
          <t>ARD-Prod Apr - 2026 Humana Retro Process</t>
        </is>
      </c>
      <c r="E123" s="44" t="inlineStr">
        <is>
          <t>ARD-Prod Apr - 2026 Humana Retro Process</t>
        </is>
      </c>
      <c r="F123" s="44"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G123" s="44" t="inlineStr">
        <is>
          <t>Generated files to Finance and send email to respective members Process complete.</t>
        </is>
      </c>
      <c r="H123" s="43" t="inlineStr">
        <is>
          <t>Other</t>
        </is>
      </c>
      <c r="I123" s="43" t="inlineStr">
        <is>
          <t>Other</t>
        </is>
      </c>
      <c r="J123" s="43" t="inlineStr"/>
      <c r="K123" s="43" t="inlineStr">
        <is>
          <t>Closed</t>
        </is>
      </c>
      <c r="L123" s="43" t="inlineStr">
        <is>
          <t>2026-04-14</t>
        </is>
      </c>
      <c r="M123" s="43" t="inlineStr">
        <is>
          <t>2026-04-23</t>
        </is>
      </c>
      <c r="N123" s="43" t="inlineStr">
        <is>
          <t>Nile Production Support</t>
        </is>
      </c>
      <c r="O123" s="43" t="inlineStr">
        <is>
          <t>Unassigned</t>
        </is>
      </c>
      <c r="P123" s="43" t="inlineStr">
        <is>
          <t>Birney, Kevin</t>
        </is>
      </c>
      <c r="Q123" s="43" t="inlineStr">
        <is>
          <t>Resolved</t>
        </is>
      </c>
      <c r="R123" s="44"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S123" s="43" t="inlineStr"/>
      <c r="T123" s="43" t="inlineStr"/>
      <c r="U123" s="43" t="inlineStr"/>
      <c r="V123" s="58" t="inlineStr">
        <is>
          <t>Other</t>
        </is>
      </c>
      <c r="W123" s="43" t="inlineStr">
        <is>
          <t>Yes</t>
        </is>
      </c>
    </row>
    <row r="124">
      <c r="A124" s="46" t="inlineStr">
        <is>
          <t>IT-2988711</t>
        </is>
      </c>
      <c r="B124" s="46" t="inlineStr">
        <is>
          <t>IT-2988711</t>
        </is>
      </c>
      <c r="C124" s="46" t="inlineStr"/>
      <c r="D124" s="47" t="inlineStr">
        <is>
          <t>ARD-Prod: Run the UhCsp dups pipeline for Apr - 2026 (pulling Mar - 2026 data) RCA Job</t>
        </is>
      </c>
      <c r="E124" s="47" t="inlineStr">
        <is>
          <t>ARD-Prod: Run the UhCsp dups pipeline for Apr - 2026 (pulling Mar - 2026 data) RCA Job</t>
        </is>
      </c>
      <c r="F124" s="47"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G124" s="47" t="inlineStr">
        <is>
          <t>Step 4 Job Completed QA checks are done. Send email to respective members</t>
        </is>
      </c>
      <c r="H124" s="46" t="inlineStr">
        <is>
          <t>Other</t>
        </is>
      </c>
      <c r="I124" s="46" t="inlineStr">
        <is>
          <t>Other</t>
        </is>
      </c>
      <c r="J124" s="46" t="inlineStr"/>
      <c r="K124" s="46" t="inlineStr">
        <is>
          <t>Closed</t>
        </is>
      </c>
      <c r="L124" s="46" t="inlineStr">
        <is>
          <t>2026-04-14</t>
        </is>
      </c>
      <c r="M124" s="46" t="inlineStr">
        <is>
          <t>2026-04-21</t>
        </is>
      </c>
      <c r="N124" s="46" t="inlineStr">
        <is>
          <t>Nile Production Support</t>
        </is>
      </c>
      <c r="O124" s="46" t="inlineStr">
        <is>
          <t>Unassigned</t>
        </is>
      </c>
      <c r="P124" s="46" t="inlineStr">
        <is>
          <t>Birney, Kevin</t>
        </is>
      </c>
      <c r="Q124" s="46" t="inlineStr">
        <is>
          <t>Resolved</t>
        </is>
      </c>
      <c r="R124" s="47"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S124" s="46" t="inlineStr"/>
      <c r="T124" s="46" t="inlineStr"/>
      <c r="U124" s="46" t="inlineStr"/>
      <c r="V124" s="57" t="inlineStr">
        <is>
          <t>Other</t>
        </is>
      </c>
      <c r="W124" s="46" t="inlineStr">
        <is>
          <t>Yes</t>
        </is>
      </c>
    </row>
    <row r="125">
      <c r="A125" s="43" t="inlineStr">
        <is>
          <t>IT-2988698</t>
        </is>
      </c>
      <c r="B125" s="43" t="inlineStr">
        <is>
          <t>IT-2988698</t>
        </is>
      </c>
      <c r="C125" s="43" t="inlineStr"/>
      <c r="D125" s="44" t="inlineStr">
        <is>
          <t>BCBSMI Replacement files for duplication issue(RCASA-76258)</t>
        </is>
      </c>
      <c r="E125" s="44" t="inlineStr">
        <is>
          <t>hello nile team could you please load the below replacement files for bcbsmi in different table. database : [BCBS_MIDataRawMedAdv] Membership File: PROD_BCBSMMA_To_Cotiviti_Membership_20240101_20251231_R.txt--&gt;table : [Members_Load_Monthly_RCASA-76258] ftp :"\\ccaintranet.com\dfs-dc-01\Ftp\B2B\BCBS_MI\outbound\PROD_BCBSMMA_To_Cotiviti_Membership_20240101_20251231_R.txt" Claims Files: PROD_BCBSMMA_To_Cotiviti_Claims_20250801_20250831_p1_R.txt → table : [Claims_Pt1_Load_Monthly_RCASA-76258] PROD_BCBSMMA_To_Cotiviti_Claims_20250801_20250831_p2_R.txt--&gt;table : [Claims_Pt2_Load_Monthly_RCASA-76258] PROD_BCBSMMA_To_Cotiviti_Claims_20250801_20250831_p3_R.txt--&gt;table : [Claims_Pt3_Load_Monthly_RCASA-76258] PROD_BCBSMMA_To_Cotiviti_Claims_20250801_20250831_p4_R.txt--&gt; table : [Claims_Pt4_Load_Monthly_RCASA-76258] Files are already available in FTP "\\ccaintranet.com\dfs-dc-01\Ftp\B2B\BCBS_MI\outbound\PROD_BCBSMMA_To_Cotiviti_Claims_20250801_20250831_p1_R.txt" "\\ccaintranet.com\dfs-dc-01\Ftp\B2B\BCBS_MI\outbound\PROD_BCBSMMA_To_Cotiviti_Claims_20250801_20250831_p2_R.txt" "\\ccaintranet.com\dfs-dc-01\Ftp\B2B\BCBS_MI\outbound\PROD_BCBSMMA_To_Cotiviti_Claims_20250801_20250831_p3_R.txt" "\\ccaintranet.com\dfs-dc-01\Ftp\B2B\BCBS_MI\outbound\PROD_BCBSMMA_To_Cotiviti_Claims_20250801_20250831_p4_R.txt" detail in Jira : https://jira2.cotiviti.com/browse/RCASA-76258 note : we are also in schedule to run regular data load as well .</t>
        </is>
      </c>
      <c r="F125" s="44" t="inlineStr"/>
      <c r="G125" s="44" t="inlineStr"/>
      <c r="H125" s="43" t="inlineStr">
        <is>
          <t>Other</t>
        </is>
      </c>
      <c r="I125" s="43" t="inlineStr">
        <is>
          <t>Other</t>
        </is>
      </c>
      <c r="J125" s="43" t="inlineStr"/>
      <c r="K125" s="43" t="inlineStr">
        <is>
          <t>Open</t>
        </is>
      </c>
      <c r="L125" s="43" t="inlineStr">
        <is>
          <t>2026-04-14</t>
        </is>
      </c>
      <c r="M125" s="43" t="inlineStr">
        <is>
          <t>2026-04-15</t>
        </is>
      </c>
      <c r="N125" s="43" t="inlineStr">
        <is>
          <t>Nile Production Support</t>
        </is>
      </c>
      <c r="O125" s="43" t="inlineStr">
        <is>
          <t>Unassigned</t>
        </is>
      </c>
      <c r="P125" s="43" t="inlineStr">
        <is>
          <t>KC, Sanjeeb</t>
        </is>
      </c>
      <c r="Q125" s="43" t="inlineStr">
        <is>
          <t>Unresolved</t>
        </is>
      </c>
      <c r="R125" s="44" t="inlineStr"/>
      <c r="S125" s="43" t="inlineStr"/>
      <c r="T125" s="43" t="inlineStr"/>
      <c r="U125" s="43" t="inlineStr"/>
      <c r="V125" s="62" t="inlineStr">
        <is>
          <t>Pipeline Schedule</t>
        </is>
      </c>
      <c r="W125" s="43" t="inlineStr"/>
    </row>
    <row r="126">
      <c r="A126" s="46" t="inlineStr">
        <is>
          <t>IT-2988581</t>
        </is>
      </c>
      <c r="B126" s="46" t="inlineStr">
        <is>
          <t>IT-2988581</t>
        </is>
      </c>
      <c r="C126" s="46" t="inlineStr"/>
      <c r="D126" s="47" t="inlineStr">
        <is>
          <t>Data Copy Request</t>
        </is>
      </c>
      <c r="E126" s="47" t="inlineStr">
        <is>
          <t>Hello Devatha, Satish , Kindly copy the Presbyterian HRP history files for the past two months (February and March). Thank you.</t>
        </is>
      </c>
      <c r="F126" s="47" t="inlineStr">
        <is>
          <t>Files are copied</t>
        </is>
      </c>
      <c r="G126" s="47" t="inlineStr">
        <is>
          <t>Files are copied</t>
        </is>
      </c>
      <c r="H126" s="46" t="inlineStr">
        <is>
          <t>Other</t>
        </is>
      </c>
      <c r="I126" s="46" t="inlineStr">
        <is>
          <t>Other</t>
        </is>
      </c>
      <c r="J126" s="46" t="inlineStr"/>
      <c r="K126" s="46" t="inlineStr">
        <is>
          <t>Closed</t>
        </is>
      </c>
      <c r="L126" s="46" t="inlineStr">
        <is>
          <t>2026-04-14</t>
        </is>
      </c>
      <c r="M126" s="46" t="inlineStr">
        <is>
          <t>2026-04-14</t>
        </is>
      </c>
      <c r="N126" s="46" t="inlineStr">
        <is>
          <t>Nile Production Support</t>
        </is>
      </c>
      <c r="O126" s="46" t="inlineStr">
        <is>
          <t>Unassigned</t>
        </is>
      </c>
      <c r="P126" s="46" t="inlineStr">
        <is>
          <t>Karakavalasa, SriVarshini</t>
        </is>
      </c>
      <c r="Q126" s="46" t="inlineStr">
        <is>
          <t>Resolved</t>
        </is>
      </c>
      <c r="R126" s="47" t="inlineStr">
        <is>
          <t>Files are copied</t>
        </is>
      </c>
      <c r="S126" s="46" t="inlineStr"/>
      <c r="T126" s="46" t="inlineStr"/>
      <c r="U126" s="46" t="inlineStr"/>
      <c r="V126" s="57" t="inlineStr">
        <is>
          <t>Other</t>
        </is>
      </c>
      <c r="W126" s="46" t="inlineStr">
        <is>
          <t>Yes</t>
        </is>
      </c>
    </row>
    <row r="127">
      <c r="A127" s="43" t="inlineStr">
        <is>
          <t>IT-2988483</t>
        </is>
      </c>
      <c r="B127" s="43" t="inlineStr">
        <is>
          <t>IT-2988483</t>
        </is>
      </c>
      <c r="C127" s="43" t="inlineStr"/>
      <c r="D127" s="44" t="inlineStr">
        <is>
          <t>Request to ingest Aetna CAQH file -COB Smart Cotoviti 040426.zip</t>
        </is>
      </c>
      <c r="E127" s="44"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F127" s="44" t="inlineStr">
        <is>
          <t>Edited 3 spoolers and pipelines to process the new filename pattern. Vandanath, Teena confirmed that the files have been ingested successfully</t>
        </is>
      </c>
      <c r="G127" s="44" t="inlineStr">
        <is>
          <t>spoolers were changed to allow the misspelled file name pattern same with the pipeline</t>
        </is>
      </c>
      <c r="H127" s="43" t="inlineStr">
        <is>
          <t>Other</t>
        </is>
      </c>
      <c r="I127" s="43" t="inlineStr">
        <is>
          <t>Other</t>
        </is>
      </c>
      <c r="J127" s="43" t="inlineStr"/>
      <c r="K127" s="43" t="inlineStr">
        <is>
          <t>Closed</t>
        </is>
      </c>
      <c r="L127" s="43" t="inlineStr">
        <is>
          <t>2026-04-14</t>
        </is>
      </c>
      <c r="M127" s="43" t="inlineStr">
        <is>
          <t>2026-04-14</t>
        </is>
      </c>
      <c r="N127" s="43" t="inlineStr">
        <is>
          <t>Nile Production Support</t>
        </is>
      </c>
      <c r="O127" s="43" t="inlineStr">
        <is>
          <t>Unassigned</t>
        </is>
      </c>
      <c r="P127" s="43" t="inlineStr">
        <is>
          <t>Vandanath, Teena</t>
        </is>
      </c>
      <c r="Q127" s="43" t="inlineStr">
        <is>
          <t>Resolved</t>
        </is>
      </c>
      <c r="R127" s="44" t="inlineStr">
        <is>
          <t>Edited 3 spoolers and pipelines to process the new filename pattern. Vandanath, Teena confirmed that the files have been ingested successfully</t>
        </is>
      </c>
      <c r="S127" s="43" t="inlineStr"/>
      <c r="T127" s="43" t="inlineStr"/>
      <c r="U127" s="43" t="inlineStr"/>
      <c r="V127" s="56" t="inlineStr">
        <is>
          <t>Spooler issue</t>
        </is>
      </c>
      <c r="W127" s="43" t="inlineStr"/>
    </row>
    <row r="128">
      <c r="A128" s="46" t="inlineStr">
        <is>
          <t>IT-2988358</t>
        </is>
      </c>
      <c r="B128" s="46" t="inlineStr">
        <is>
          <t>IT-2988358</t>
        </is>
      </c>
      <c r="C128" s="46" t="inlineStr"/>
      <c r="D128" s="47" t="inlineStr">
        <is>
          <t>Please help load UHC Cirrus files from last week</t>
        </is>
      </c>
      <c r="E128" s="47" t="inlineStr">
        <is>
          <t>Please help load UHC Cirrus files from last week Team, seems like the new weekly file ingestion started last night and completed this morning, but we have to process the received files in order. Would you please help reload last week’s file, and let me know when file ingestion is completed? Thanks</t>
        </is>
      </c>
      <c r="F128" s="47"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G128" s="47" t="inlineStr"/>
      <c r="H128" s="46" t="inlineStr">
        <is>
          <t>Other</t>
        </is>
      </c>
      <c r="I128" s="46" t="inlineStr">
        <is>
          <t>Other</t>
        </is>
      </c>
      <c r="J128" s="46" t="inlineStr"/>
      <c r="K128" s="46" t="inlineStr">
        <is>
          <t>Cancelled</t>
        </is>
      </c>
      <c r="L128" s="46" t="inlineStr">
        <is>
          <t>2026-04-14</t>
        </is>
      </c>
      <c r="M128" s="46" t="inlineStr">
        <is>
          <t>2026-04-15</t>
        </is>
      </c>
      <c r="N128" s="46" t="inlineStr">
        <is>
          <t>Nile Production Support</t>
        </is>
      </c>
      <c r="O128" s="46" t="inlineStr">
        <is>
          <t>Unassigned</t>
        </is>
      </c>
      <c r="P128" s="46" t="inlineStr">
        <is>
          <t>Tang, Chao</t>
        </is>
      </c>
      <c r="Q128" s="46" t="inlineStr">
        <is>
          <t>Cancelled</t>
        </is>
      </c>
      <c r="R128" s="47"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S128" s="46" t="inlineStr"/>
      <c r="T128" s="46" t="inlineStr"/>
      <c r="U128" s="46" t="inlineStr"/>
      <c r="V128" s="50" t="inlineStr">
        <is>
          <t>File Issue</t>
        </is>
      </c>
      <c r="W128" s="46" t="inlineStr"/>
    </row>
    <row r="129">
      <c r="A129" s="43" t="inlineStr">
        <is>
          <t>IT-2988285</t>
        </is>
      </c>
      <c r="B129" s="43" t="inlineStr">
        <is>
          <t>IT-2988285</t>
        </is>
      </c>
      <c r="C129" s="43" t="inlineStr"/>
      <c r="D129" s="44" t="inlineStr">
        <is>
          <t>Peer review for oscar - homegrown</t>
        </is>
      </c>
      <c r="E129" s="44" t="inlineStr">
        <is>
          <t>Reviewed the Oscar homegrown data against the old dataset and the runs using the new PPM template, validation was completed with Puchakayala, Ranadeep and everything looks good. We are ready to proceed to production.</t>
        </is>
      </c>
      <c r="F129" s="44" t="inlineStr"/>
      <c r="G129" s="44" t="inlineStr">
        <is>
          <t>Reviewed and scheduled</t>
        </is>
      </c>
      <c r="H129" s="43" t="inlineStr">
        <is>
          <t>Other</t>
        </is>
      </c>
      <c r="I129" s="43" t="inlineStr">
        <is>
          <t>Other</t>
        </is>
      </c>
      <c r="J129" s="43" t="inlineStr"/>
      <c r="K129" s="43" t="inlineStr">
        <is>
          <t>Closed</t>
        </is>
      </c>
      <c r="L129" s="43" t="inlineStr">
        <is>
          <t>2026-04-14</t>
        </is>
      </c>
      <c r="M129" s="43" t="inlineStr">
        <is>
          <t>2026-04-27</t>
        </is>
      </c>
      <c r="N129" s="43" t="inlineStr">
        <is>
          <t>Nile Production Support</t>
        </is>
      </c>
      <c r="O129" s="43" t="inlineStr">
        <is>
          <t>Unassigned</t>
        </is>
      </c>
      <c r="P129" s="43" t="inlineStr">
        <is>
          <t>Karakavalasa, SriVarshini</t>
        </is>
      </c>
      <c r="Q129" s="43" t="inlineStr">
        <is>
          <t>Done</t>
        </is>
      </c>
      <c r="R129" s="44" t="inlineStr"/>
      <c r="S129" s="43" t="inlineStr"/>
      <c r="T129" s="43" t="inlineStr"/>
      <c r="U129" s="43" t="inlineStr"/>
      <c r="V129" s="58" t="inlineStr">
        <is>
          <t>Other</t>
        </is>
      </c>
      <c r="W129" s="43" t="inlineStr">
        <is>
          <t>Yes</t>
        </is>
      </c>
    </row>
    <row r="130">
      <c r="A130" s="46" t="inlineStr">
        <is>
          <t>IT-2988239</t>
        </is>
      </c>
      <c r="B130" s="46" t="inlineStr">
        <is>
          <t>IT-2988239</t>
        </is>
      </c>
      <c r="C130" s="46" t="inlineStr"/>
      <c r="D130" s="47" t="inlineStr">
        <is>
          <t>Requesting replacement file for Wellmark QC test tba file due to same sequence number in both the files</t>
        </is>
      </c>
      <c r="E130" s="47" t="inlineStr">
        <is>
          <t>We have observed failures at the Production Control end for the following files: File Processing Information: ---------------------------------------------------------------------------------------------------- File : welex_test_daily_incoming_1TST2.04-14-2026_0246 QA Status : FAILED Reason : The file has already been processed or it is out-of-sequence. ** WELEX|T|431|20260414|1092|P File Processing Information: ---------------------------------------------------------------------------------------------------- File : welex_test_outpatient_incoming_1TST2.04-14-2026_0246 QA Status : FAILED Reason : The file has already been processed or it is out-of-sequence. ** WELEX|T|431|20260414|1605|P The error for these failures is “Out of Sequence.” Unable to render embedded object: File (Rs75pAAAAAZJREFUAwCEOJpFczkppQAAAABJRU5ErkJggg==) not found. Unable to render embedded object: File (chCdNwAAAAZJREFUAwBy86qahOTgyQAAAABJRU5ErkJggg==) not found. we have same sequence number for both the dates. Unable to render embedded object: File (wJ7UzYAAAAGSURBVAMAAcbH5LgggREAAAAASUVORK5CYII=) not found. Unable to render embedded object: File (YcAAAAASUVORK5CYII=) not found. Pipeline: * ppm-wellmark-facetsppm-tba-institutional-claims_GDF2_9_CDF2_9_optimized ppm-wellmark-facetsppm-tba-professional-claims_GDF2_9_CDF2_9_optimized Set: 1PPMO Files: * welex_test_tba_institutional_incoming_1TST2_2026414 welex_test_tba_professional_incoming_1TST2_2026414</t>
        </is>
      </c>
      <c r="F130" s="47"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G130" s="47" t="inlineStr"/>
      <c r="H130" s="46" t="inlineStr">
        <is>
          <t>Other</t>
        </is>
      </c>
      <c r="I130" s="46" t="inlineStr">
        <is>
          <t>Other</t>
        </is>
      </c>
      <c r="J130" s="46" t="inlineStr"/>
      <c r="K130" s="46" t="inlineStr">
        <is>
          <t>On Hold</t>
        </is>
      </c>
      <c r="L130" s="46" t="inlineStr">
        <is>
          <t>2026-04-14</t>
        </is>
      </c>
      <c r="M130" s="46" t="inlineStr">
        <is>
          <t>2026-05-06</t>
        </is>
      </c>
      <c r="N130" s="46" t="inlineStr">
        <is>
          <t>Nile Production Support</t>
        </is>
      </c>
      <c r="O130" s="46" t="inlineStr">
        <is>
          <t>Unassigned</t>
        </is>
      </c>
      <c r="P130" s="46" t="inlineStr">
        <is>
          <t>Raya, Birajan</t>
        </is>
      </c>
      <c r="Q130" s="46" t="inlineStr">
        <is>
          <t>Unresolved</t>
        </is>
      </c>
      <c r="R130" s="47"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S130" s="46" t="inlineStr"/>
      <c r="T130" s="46" t="inlineStr"/>
      <c r="U130" s="46" t="inlineStr"/>
      <c r="V130" s="50" t="inlineStr">
        <is>
          <t>File Issue</t>
        </is>
      </c>
      <c r="W130" s="46" t="inlineStr"/>
    </row>
    <row r="131">
      <c r="A131" s="43" t="inlineStr">
        <is>
          <t>IT-2988083</t>
        </is>
      </c>
      <c r="B131" s="43" t="inlineStr">
        <is>
          <t>IT-2988083</t>
        </is>
      </c>
      <c r="C131" s="43" t="inlineStr"/>
      <c r="D131" s="44" t="inlineStr">
        <is>
          <t>Unmatched gdf_institutional_claims raw data count - 20260413_1 - prod - bcbssc-pbm-pharmacy_claims_custom_GDF2_5</t>
        </is>
      </c>
      <c r="E131" s="44" t="inlineStr">
        <is>
          <t>The pipeline "bcbssc-pbm-pharmacy_claims_custom_GDF2_5" got failed due to rejected record. Please investigate and suggest. Email ref: Unmatched gdf_institutional_claims raw data count - 20260413_1 - prod - bcbssc-pbm-pharmacy_claims_custom_GDF2_5</t>
        </is>
      </c>
      <c r="F131" s="44"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G131" s="44" t="inlineStr"/>
      <c r="H131" s="43" t="inlineStr">
        <is>
          <t>Other</t>
        </is>
      </c>
      <c r="I131" s="43" t="inlineStr">
        <is>
          <t>Other</t>
        </is>
      </c>
      <c r="J131" s="43" t="inlineStr"/>
      <c r="K131" s="43" t="inlineStr">
        <is>
          <t>On Hold</t>
        </is>
      </c>
      <c r="L131" s="43" t="inlineStr">
        <is>
          <t>2026-04-14</t>
        </is>
      </c>
      <c r="M131" s="43" t="inlineStr">
        <is>
          <t>2026-05-05</t>
        </is>
      </c>
      <c r="N131" s="43" t="inlineStr">
        <is>
          <t>Nile Production Support</t>
        </is>
      </c>
      <c r="O131" s="43" t="inlineStr">
        <is>
          <t>Unassigned</t>
        </is>
      </c>
      <c r="P131" s="43" t="inlineStr">
        <is>
          <t>Bhattarai, Krishna</t>
        </is>
      </c>
      <c r="Q131" s="43" t="inlineStr">
        <is>
          <t>Unresolved</t>
        </is>
      </c>
      <c r="R131" s="44"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S131" s="43" t="inlineStr"/>
      <c r="T131" s="43" t="inlineStr"/>
      <c r="U131" s="43" t="inlineStr"/>
      <c r="V131" s="51" t="inlineStr">
        <is>
          <t>Data Issue</t>
        </is>
      </c>
      <c r="W131" s="43" t="inlineStr"/>
    </row>
    <row r="132">
      <c r="A132" s="46" t="inlineStr">
        <is>
          <t>IT-2988019</t>
        </is>
      </c>
      <c r="B132" s="46" t="inlineStr">
        <is>
          <t>IT-2988019</t>
        </is>
      </c>
      <c r="C132" s="46" t="inlineStr"/>
      <c r="D132" s="47" t="inlineStr">
        <is>
          <t>OLA Configuration Changes and Monitoring on TRIMA</t>
        </is>
      </c>
      <c r="E132" s="47" t="inlineStr">
        <is>
          <t>I have made configuration changes in OLA, including adding buffer time. I will monitor a few executions and confirm that the changes are working as expected.</t>
        </is>
      </c>
      <c r="F132" s="47"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G132" s="47" t="inlineStr"/>
      <c r="H132" s="46" t="inlineStr">
        <is>
          <t>Other</t>
        </is>
      </c>
      <c r="I132" s="46" t="inlineStr">
        <is>
          <t>Other</t>
        </is>
      </c>
      <c r="J132" s="46" t="inlineStr"/>
      <c r="K132" s="46" t="inlineStr">
        <is>
          <t>On Hold</t>
        </is>
      </c>
      <c r="L132" s="46" t="inlineStr">
        <is>
          <t>2026-04-14</t>
        </is>
      </c>
      <c r="M132" s="46" t="inlineStr">
        <is>
          <t>2026-05-05</t>
        </is>
      </c>
      <c r="N132" s="46" t="inlineStr">
        <is>
          <t>Nile Production Support</t>
        </is>
      </c>
      <c r="O132" s="46" t="inlineStr">
        <is>
          <t>Unassigned</t>
        </is>
      </c>
      <c r="P132" s="46" t="inlineStr">
        <is>
          <t>Bhattarai, Krishna</t>
        </is>
      </c>
      <c r="Q132" s="46" t="inlineStr">
        <is>
          <t>Unresolved</t>
        </is>
      </c>
      <c r="R132" s="47"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S132" s="46" t="inlineStr"/>
      <c r="T132" s="46" t="inlineStr"/>
      <c r="U132" s="46" t="inlineStr"/>
      <c r="V132" s="57" t="inlineStr">
        <is>
          <t>Other</t>
        </is>
      </c>
      <c r="W132" s="46" t="inlineStr">
        <is>
          <t>Yes</t>
        </is>
      </c>
    </row>
    <row r="133">
      <c r="A133" s="43" t="inlineStr">
        <is>
          <t>IT-2988016</t>
        </is>
      </c>
      <c r="B133" s="43" t="inlineStr">
        <is>
          <t>IT-2988016</t>
        </is>
      </c>
      <c r="C133" s="43" t="inlineStr"/>
      <c r="D133" s="44" t="inlineStr">
        <is>
          <t>OLA Configuration Changes and Monitoring on TRICM</t>
        </is>
      </c>
      <c r="E133" s="44" t="inlineStr">
        <is>
          <t>I have made configuration changes in OLA, including adding buffer time. I will monitor a few executions and confirm that the changes are working as expected.</t>
        </is>
      </c>
      <c r="F133" s="44"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G133" s="44" t="inlineStr"/>
      <c r="H133" s="43" t="inlineStr">
        <is>
          <t>Other</t>
        </is>
      </c>
      <c r="I133" s="43" t="inlineStr">
        <is>
          <t>Other</t>
        </is>
      </c>
      <c r="J133" s="43" t="inlineStr"/>
      <c r="K133" s="43" t="inlineStr">
        <is>
          <t>On Hold</t>
        </is>
      </c>
      <c r="L133" s="43" t="inlineStr">
        <is>
          <t>2026-04-14</t>
        </is>
      </c>
      <c r="M133" s="43" t="inlineStr">
        <is>
          <t>2026-05-05</t>
        </is>
      </c>
      <c r="N133" s="43" t="inlineStr">
        <is>
          <t>Nile Production Support</t>
        </is>
      </c>
      <c r="O133" s="43" t="inlineStr">
        <is>
          <t>Unassigned</t>
        </is>
      </c>
      <c r="P133" s="43" t="inlineStr">
        <is>
          <t>Bhattarai, Krishna</t>
        </is>
      </c>
      <c r="Q133" s="43" t="inlineStr">
        <is>
          <t>Unresolved</t>
        </is>
      </c>
      <c r="R133" s="44"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S133" s="43" t="inlineStr"/>
      <c r="T133" s="43" t="inlineStr"/>
      <c r="U133" s="43" t="inlineStr"/>
      <c r="V133" s="58" t="inlineStr">
        <is>
          <t>Other</t>
        </is>
      </c>
      <c r="W133" s="43" t="inlineStr">
        <is>
          <t>Yes</t>
        </is>
      </c>
    </row>
    <row r="134">
      <c r="A134" s="46" t="inlineStr">
        <is>
          <t>IT-2987699</t>
        </is>
      </c>
      <c r="B134" s="46" t="inlineStr">
        <is>
          <t>IT-2987699</t>
        </is>
      </c>
      <c r="C134" s="46" t="inlineStr"/>
      <c r="D134" s="47" t="inlineStr">
        <is>
          <t>Unmatched mbr_enrollment raw data count - 20260412_1 - prod - dm-centene-centene-actian_migration_member_enrollment</t>
        </is>
      </c>
      <c r="E134" s="47" t="inlineStr">
        <is>
          <t>The pipeline got failed due to unmatched record, please investigate and suggest. Email ref: Unmatched mbr_enrollment raw data count - 20260412_1 - prod - dm-centene-centene-actian_migration_member_enrollment</t>
        </is>
      </c>
      <c r="F134" s="47" t="inlineStr">
        <is>
          <t>There is another ticket already opened yesterday on 4/13: IT-2987468</t>
        </is>
      </c>
      <c r="G134" s="47" t="inlineStr"/>
      <c r="H134" s="46" t="inlineStr">
        <is>
          <t>Other</t>
        </is>
      </c>
      <c r="I134" s="46" t="inlineStr">
        <is>
          <t>Other</t>
        </is>
      </c>
      <c r="J134" s="46" t="inlineStr"/>
      <c r="K134" s="46" t="inlineStr">
        <is>
          <t>Cancelled</t>
        </is>
      </c>
      <c r="L134" s="46" t="inlineStr">
        <is>
          <t>2026-04-13</t>
        </is>
      </c>
      <c r="M134" s="46" t="inlineStr">
        <is>
          <t>2026-04-14</t>
        </is>
      </c>
      <c r="N134" s="46" t="inlineStr">
        <is>
          <t>Nile Production Support</t>
        </is>
      </c>
      <c r="O134" s="46" t="inlineStr">
        <is>
          <t>Unassigned</t>
        </is>
      </c>
      <c r="P134" s="46" t="inlineStr">
        <is>
          <t>Bhattarai, Krishna</t>
        </is>
      </c>
      <c r="Q134" s="46" t="inlineStr">
        <is>
          <t>Cancelled</t>
        </is>
      </c>
      <c r="R134" s="47" t="inlineStr">
        <is>
          <t>There is another ticket already opened yesterday on 4/13: IT-2987468</t>
        </is>
      </c>
      <c r="S134" s="46" t="inlineStr"/>
      <c r="T134" s="46" t="inlineStr"/>
      <c r="U134" s="46" t="inlineStr"/>
      <c r="V134" s="57" t="inlineStr">
        <is>
          <t>Other</t>
        </is>
      </c>
      <c r="W134" s="46" t="inlineStr">
        <is>
          <t>Yes</t>
        </is>
      </c>
    </row>
    <row r="135">
      <c r="A135" s="43" t="inlineStr">
        <is>
          <t>IT-2987546</t>
        </is>
      </c>
      <c r="B135" s="43" t="inlineStr">
        <is>
          <t>IT-2987546</t>
        </is>
      </c>
      <c r="C135" s="43" t="inlineStr"/>
      <c r="D135" s="44" t="inlineStr">
        <is>
          <t>Please ingest file COSMOS_CLAIM_ASONON_OUT_APR26.txt.gz.pgp only for pipeline dm-uhc-cosmos-actian_migration_asoclaims (202604)</t>
        </is>
      </c>
      <c r="E135" s="44"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F135" s="44"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G135" s="44" t="inlineStr">
        <is>
          <t>Edited the pipeline to just read ASONON files and filter out ASOFAC files. Once load is done then we edited the pipeline to include both files</t>
        </is>
      </c>
      <c r="H135" s="43" t="inlineStr">
        <is>
          <t>Other</t>
        </is>
      </c>
      <c r="I135" s="43" t="inlineStr">
        <is>
          <t>Other</t>
        </is>
      </c>
      <c r="J135" s="43" t="inlineStr"/>
      <c r="K135" s="43" t="inlineStr">
        <is>
          <t>Closed</t>
        </is>
      </c>
      <c r="L135" s="43" t="inlineStr">
        <is>
          <t>2026-04-13</t>
        </is>
      </c>
      <c r="M135" s="43" t="inlineStr">
        <is>
          <t>2026-04-14</t>
        </is>
      </c>
      <c r="N135" s="43" t="inlineStr">
        <is>
          <t>Nile Production Support</t>
        </is>
      </c>
      <c r="O135" s="43" t="inlineStr">
        <is>
          <t>Unassigned</t>
        </is>
      </c>
      <c r="P135" s="43" t="inlineStr">
        <is>
          <t>Suryani, Melly</t>
        </is>
      </c>
      <c r="Q135" s="43" t="inlineStr">
        <is>
          <t>Resolved</t>
        </is>
      </c>
      <c r="R135" s="44"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S135" s="43" t="inlineStr"/>
      <c r="T135" s="43" t="inlineStr"/>
      <c r="U135" s="43" t="inlineStr"/>
      <c r="V135" s="58" t="inlineStr">
        <is>
          <t>Other</t>
        </is>
      </c>
      <c r="W135" s="43" t="inlineStr">
        <is>
          <t>Yes</t>
        </is>
      </c>
    </row>
    <row r="136">
      <c r="A136" s="46" t="inlineStr">
        <is>
          <t>IT-2987468</t>
        </is>
      </c>
      <c r="B136" s="46" t="inlineStr">
        <is>
          <t>IT-2987468</t>
        </is>
      </c>
      <c r="C136" s="46" t="inlineStr"/>
      <c r="D136" s="47" t="inlineStr">
        <is>
          <t>dm-centene-centene-actian_migration_member_enrollment</t>
        </is>
      </c>
      <c r="E136" s="47" t="inlineStr">
        <is>
          <t>dm-centene-centene-actian_migration_member_enrollment 2026/04/12 Data ingestion error causing 0 records to be ingested. Raw file schema is not matching the schema used. At a glance, it seems client reverted back to v3 schema</t>
        </is>
      </c>
      <c r="F136" s="47" t="inlineStr">
        <is>
          <t>Hi Easley, Keaton Need to request replacement file from client with latest schema as last week with 20260405 datadate. Received Replacement files with 20260414 pipeline is running now Thanks Satish Devatha pipeline completed</t>
        </is>
      </c>
      <c r="G136" s="47" t="inlineStr">
        <is>
          <t>pipeline completed</t>
        </is>
      </c>
      <c r="H136" s="46" t="inlineStr">
        <is>
          <t>Other</t>
        </is>
      </c>
      <c r="I136" s="46" t="inlineStr">
        <is>
          <t>Other</t>
        </is>
      </c>
      <c r="J136" s="46" t="inlineStr"/>
      <c r="K136" s="46" t="inlineStr">
        <is>
          <t>Closed</t>
        </is>
      </c>
      <c r="L136" s="46" t="inlineStr">
        <is>
          <t>2026-04-13</t>
        </is>
      </c>
      <c r="M136" s="46" t="inlineStr">
        <is>
          <t>2026-04-20</t>
        </is>
      </c>
      <c r="N136" s="46" t="inlineStr">
        <is>
          <t>Nile Production Support</t>
        </is>
      </c>
      <c r="O136" s="46" t="inlineStr">
        <is>
          <t>Unassigned</t>
        </is>
      </c>
      <c r="P136" s="46" t="inlineStr">
        <is>
          <t>Easley, Keaton</t>
        </is>
      </c>
      <c r="Q136" s="46" t="inlineStr">
        <is>
          <t>Resolved</t>
        </is>
      </c>
      <c r="R136" s="47" t="inlineStr">
        <is>
          <t>Hi Easley, Keaton Need to request replacement file from client with latest schema as last week with 20260405 datadate. Received Replacement files with 20260414 pipeline is running now Thanks Satish Devatha pipeline completed</t>
        </is>
      </c>
      <c r="S136" s="46" t="inlineStr"/>
      <c r="T136" s="46" t="inlineStr"/>
      <c r="U136" s="46" t="inlineStr"/>
      <c r="V136" s="55" t="inlineStr">
        <is>
          <t>Data Issue</t>
        </is>
      </c>
      <c r="W136" s="46" t="inlineStr"/>
    </row>
    <row r="137">
      <c r="A137" s="43" t="inlineStr">
        <is>
          <t>IT-2987004</t>
        </is>
      </c>
      <c r="B137" s="43" t="inlineStr">
        <is>
          <t>IT-2987004</t>
        </is>
      </c>
      <c r="C137" s="43" t="inlineStr"/>
      <c r="D137" s="44" t="inlineStr">
        <is>
          <t>Please Schedule the Pipeline to Run the CHC_AETNA_MTH_TRAD_SUPPORTFILES_NILE Control-M Flow</t>
        </is>
      </c>
      <c r="E137" s="44" t="inlineStr">
        <is>
          <t>Hello, Nile Team. As discussed with Dindo Octaviano , we need to schedule the pipeline to run the CHC_AETNA_MTH_TRAD_SUPPORTFILES_NILE control-m flow on the 11th and 12th of the month. The flow did not get triggered this month and I had to order it manually from Control-M. Please let me know if you have any questions. Thanks. Mike</t>
        </is>
      </c>
      <c r="F137" s="44"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G137" s="44" t="inlineStr">
        <is>
          <t>trigger_bmc_workflow_CHC_AETNA_MTH_TRAD_SUPPORTFILES_NILE was published and scheduled</t>
        </is>
      </c>
      <c r="H137" s="43" t="inlineStr"/>
      <c r="I137" s="43" t="inlineStr"/>
      <c r="J137" s="43" t="inlineStr"/>
      <c r="K137" s="43" t="inlineStr">
        <is>
          <t>Closed</t>
        </is>
      </c>
      <c r="L137" s="43" t="inlineStr">
        <is>
          <t>2026-04-13</t>
        </is>
      </c>
      <c r="M137" s="43" t="inlineStr">
        <is>
          <t>2026-04-13</t>
        </is>
      </c>
      <c r="N137" s="43" t="inlineStr">
        <is>
          <t>Nile Production Support</t>
        </is>
      </c>
      <c r="O137" s="43" t="inlineStr">
        <is>
          <t>Unassigned</t>
        </is>
      </c>
      <c r="P137" s="43" t="inlineStr">
        <is>
          <t>Deynarian, Michael</t>
        </is>
      </c>
      <c r="Q137" s="43" t="inlineStr">
        <is>
          <t>Resolved</t>
        </is>
      </c>
      <c r="R137" s="44"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S137" s="43" t="inlineStr"/>
      <c r="T137" s="43" t="inlineStr"/>
      <c r="U137" s="43" t="inlineStr"/>
      <c r="V137" s="49" t="inlineStr">
        <is>
          <t>Configuration Issue</t>
        </is>
      </c>
      <c r="W137" s="43" t="inlineStr"/>
    </row>
    <row r="138">
      <c r="A138" s="46" t="inlineStr">
        <is>
          <t>IT-2986957</t>
        </is>
      </c>
      <c r="B138" s="46" t="inlineStr">
        <is>
          <t>IT-2986957</t>
        </is>
      </c>
      <c r="C138" s="46" t="inlineStr"/>
      <c r="D138" s="47" t="inlineStr">
        <is>
          <t>BCBS_NE : Vendor_Claims_202603 file reprocessing due to Autoid field Populating 0</t>
        </is>
      </c>
      <c r="E138" s="47" t="inlineStr">
        <is>
          <t>Need to reprocess the Vendor_Claims_202603 file due to Autoid field Populating 0 in all the rows. Also check if the Autoid field is Int Identity before processing from your side. What should be the correct structure of the table please verify this, and if anything is needed from us do let us know.</t>
        </is>
      </c>
      <c r="F138" s="47"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G138" s="47" t="inlineStr">
        <is>
          <t>The sql table has to bee set to have autoid as IDENTITY/ In NILE, autoid is equated to 0</t>
        </is>
      </c>
      <c r="H138" s="46" t="inlineStr">
        <is>
          <t>Other</t>
        </is>
      </c>
      <c r="I138" s="46" t="inlineStr">
        <is>
          <t>Other</t>
        </is>
      </c>
      <c r="J138" s="46" t="inlineStr"/>
      <c r="K138" s="46" t="inlineStr">
        <is>
          <t>Closed</t>
        </is>
      </c>
      <c r="L138" s="46" t="inlineStr">
        <is>
          <t>2026-04-13</t>
        </is>
      </c>
      <c r="M138" s="46" t="inlineStr">
        <is>
          <t>2026-04-20</t>
        </is>
      </c>
      <c r="N138" s="46" t="inlineStr">
        <is>
          <t>Nile Production Support</t>
        </is>
      </c>
      <c r="O138" s="46" t="inlineStr">
        <is>
          <t>Unassigned</t>
        </is>
      </c>
      <c r="P138" s="46" t="inlineStr">
        <is>
          <t>Thapa, Amrit</t>
        </is>
      </c>
      <c r="Q138" s="46" t="inlineStr">
        <is>
          <t>Resolved</t>
        </is>
      </c>
      <c r="R138" s="47"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S138" s="46" t="inlineStr"/>
      <c r="T138" s="46" t="inlineStr"/>
      <c r="U138" s="46" t="inlineStr"/>
      <c r="V138" s="63" t="inlineStr">
        <is>
          <t>Schema issue</t>
        </is>
      </c>
      <c r="W138" s="46" t="inlineStr"/>
    </row>
    <row r="139">
      <c r="A139" s="43" t="inlineStr">
        <is>
          <t>IT-2986640</t>
        </is>
      </c>
      <c r="B139" s="43" t="inlineStr">
        <is>
          <t>IT-2986640</t>
        </is>
      </c>
      <c r="C139" s="43" t="inlineStr"/>
      <c r="D139" s="44" t="inlineStr">
        <is>
          <t>BCBSNJ Nasco - Delete the file from raw folder for 20260217 date</t>
        </is>
      </c>
      <c r="E139" s="44"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F139" s="44" t="inlineStr">
        <is>
          <t>Hi Shaik, Parveena Removed the file from raw path Thanks Satish Devatha</t>
        </is>
      </c>
      <c r="G139" s="44" t="inlineStr">
        <is>
          <t>Removed the file from raw path</t>
        </is>
      </c>
      <c r="H139" s="43" t="inlineStr">
        <is>
          <t>Other</t>
        </is>
      </c>
      <c r="I139" s="43" t="inlineStr">
        <is>
          <t>Other</t>
        </is>
      </c>
      <c r="J139" s="43" t="inlineStr"/>
      <c r="K139" s="43" t="inlineStr">
        <is>
          <t>Closed</t>
        </is>
      </c>
      <c r="L139" s="43" t="inlineStr">
        <is>
          <t>2026-04-13</t>
        </is>
      </c>
      <c r="M139" s="43" t="inlineStr">
        <is>
          <t>2026-04-13</t>
        </is>
      </c>
      <c r="N139" s="43" t="inlineStr">
        <is>
          <t>Nile Production Support</t>
        </is>
      </c>
      <c r="O139" s="43" t="inlineStr">
        <is>
          <t>Unassigned</t>
        </is>
      </c>
      <c r="P139" s="43" t="inlineStr">
        <is>
          <t>Shaik, Parveena</t>
        </is>
      </c>
      <c r="Q139" s="43" t="inlineStr">
        <is>
          <t>Resolved</t>
        </is>
      </c>
      <c r="R139" s="44" t="inlineStr">
        <is>
          <t>Hi Shaik, Parveena Removed the file from raw path Thanks Satish Devatha</t>
        </is>
      </c>
      <c r="S139" s="43" t="inlineStr"/>
      <c r="T139" s="43" t="inlineStr"/>
      <c r="U139" s="43" t="inlineStr"/>
      <c r="V139" s="58" t="inlineStr">
        <is>
          <t>Other</t>
        </is>
      </c>
      <c r="W139" s="43" t="inlineStr">
        <is>
          <t>Yes</t>
        </is>
      </c>
    </row>
    <row r="140">
      <c r="A140" s="46" t="inlineStr">
        <is>
          <t>IT-2986624</t>
        </is>
      </c>
      <c r="B140" s="46" t="inlineStr">
        <is>
          <t>IT-2986624</t>
        </is>
      </c>
      <c r="C140" s="46" t="inlineStr"/>
      <c r="D140" s="47" t="inlineStr">
        <is>
          <t>Copy files From Nile Prod Raw path to Nile QC Raw path - Aetna Trad</t>
        </is>
      </c>
      <c r="E140" s="47"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40" s="47" t="inlineStr">
        <is>
          <t>Hi Shivalingu, Naveen Files copied. Please verify Thanks Satish Devatha</t>
        </is>
      </c>
      <c r="G140" s="47" t="inlineStr">
        <is>
          <t>Files Copied</t>
        </is>
      </c>
      <c r="H140" s="46" t="inlineStr">
        <is>
          <t>Other</t>
        </is>
      </c>
      <c r="I140" s="46" t="inlineStr">
        <is>
          <t>Other</t>
        </is>
      </c>
      <c r="J140" s="46" t="inlineStr"/>
      <c r="K140" s="46" t="inlineStr">
        <is>
          <t>Closed</t>
        </is>
      </c>
      <c r="L140" s="46" t="inlineStr">
        <is>
          <t>2026-04-13</t>
        </is>
      </c>
      <c r="M140" s="46" t="inlineStr">
        <is>
          <t>2026-04-13</t>
        </is>
      </c>
      <c r="N140" s="46" t="inlineStr">
        <is>
          <t>Nile Production Support</t>
        </is>
      </c>
      <c r="O140" s="46" t="inlineStr">
        <is>
          <t>Unassigned</t>
        </is>
      </c>
      <c r="P140" s="46" t="inlineStr">
        <is>
          <t>Shivalingu, Naveen</t>
        </is>
      </c>
      <c r="Q140" s="46" t="inlineStr">
        <is>
          <t>Resolved</t>
        </is>
      </c>
      <c r="R140" s="47" t="inlineStr">
        <is>
          <t>Hi Shivalingu, Naveen Files copied. Please verify Thanks Satish Devatha</t>
        </is>
      </c>
      <c r="S140" s="46" t="inlineStr"/>
      <c r="T140" s="46" t="inlineStr"/>
      <c r="U140" s="46" t="inlineStr"/>
      <c r="V140" s="57" t="inlineStr">
        <is>
          <t>Other</t>
        </is>
      </c>
      <c r="W140" s="46" t="inlineStr">
        <is>
          <t>Yes</t>
        </is>
      </c>
    </row>
    <row r="141">
      <c r="A141" s="43" t="inlineStr">
        <is>
          <t>IT-2986524</t>
        </is>
      </c>
      <c r="B141" s="43" t="inlineStr">
        <is>
          <t>IT-2986524</t>
        </is>
      </c>
      <c r="C141" s="43" t="inlineStr"/>
      <c r="D141" s="44" t="inlineStr">
        <is>
          <t>Copy files From Nile Prod Raw path to Nile QC Raw path - UHC-CSP</t>
        </is>
      </c>
      <c r="E141" s="44"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F141" s="44" t="inlineStr">
        <is>
          <t>Hi Pati, Jagadeesh Chandra Files copied. please verify. Thanks</t>
        </is>
      </c>
      <c r="G141" s="44" t="inlineStr">
        <is>
          <t>Files Copied</t>
        </is>
      </c>
      <c r="H141" s="43" t="inlineStr">
        <is>
          <t>Other</t>
        </is>
      </c>
      <c r="I141" s="43" t="inlineStr">
        <is>
          <t>Other</t>
        </is>
      </c>
      <c r="J141" s="43" t="inlineStr"/>
      <c r="K141" s="43" t="inlineStr">
        <is>
          <t>Closed</t>
        </is>
      </c>
      <c r="L141" s="43" t="inlineStr">
        <is>
          <t>2026-04-13</t>
        </is>
      </c>
      <c r="M141" s="43" t="inlineStr">
        <is>
          <t>2026-04-13</t>
        </is>
      </c>
      <c r="N141" s="43" t="inlineStr">
        <is>
          <t>Nile Production Support</t>
        </is>
      </c>
      <c r="O141" s="43" t="inlineStr">
        <is>
          <t>Unassigned</t>
        </is>
      </c>
      <c r="P141" s="43" t="inlineStr">
        <is>
          <t>Pati, Jagadeesh Chandra</t>
        </is>
      </c>
      <c r="Q141" s="43" t="inlineStr">
        <is>
          <t>Resolved</t>
        </is>
      </c>
      <c r="R141" s="44" t="inlineStr">
        <is>
          <t>Hi Pati, Jagadeesh Chandra Files copied. please verify. Thanks</t>
        </is>
      </c>
      <c r="S141" s="43" t="inlineStr"/>
      <c r="T141" s="43" t="inlineStr"/>
      <c r="U141" s="43" t="inlineStr"/>
      <c r="V141" s="58" t="inlineStr">
        <is>
          <t>Other</t>
        </is>
      </c>
      <c r="W141" s="43" t="inlineStr">
        <is>
          <t>Yes</t>
        </is>
      </c>
    </row>
    <row r="142">
      <c r="A142" s="46" t="inlineStr">
        <is>
          <t>IT-2986465</t>
        </is>
      </c>
      <c r="B142" s="46" t="inlineStr">
        <is>
          <t>IT-2986465</t>
        </is>
      </c>
      <c r="C142" s="46" t="inlineStr"/>
      <c r="D142" s="47" t="inlineStr">
        <is>
          <t>bcbs_mn new file</t>
        </is>
      </c>
      <c r="E142" s="47"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F142" s="47"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G142" s="47" t="inlineStr">
        <is>
          <t>Created new spoolers and new pipeline new mappings and new table</t>
        </is>
      </c>
      <c r="H142" s="46" t="inlineStr">
        <is>
          <t>Other</t>
        </is>
      </c>
      <c r="I142" s="46" t="inlineStr">
        <is>
          <t>Other</t>
        </is>
      </c>
      <c r="J142" s="46" t="inlineStr"/>
      <c r="K142" s="46" t="inlineStr">
        <is>
          <t>Closed</t>
        </is>
      </c>
      <c r="L142" s="46" t="inlineStr">
        <is>
          <t>2026-04-13</t>
        </is>
      </c>
      <c r="M142" s="46" t="inlineStr">
        <is>
          <t>2026-04-24</t>
        </is>
      </c>
      <c r="N142" s="46" t="inlineStr">
        <is>
          <t>Nile Production Support</t>
        </is>
      </c>
      <c r="O142" s="46" t="inlineStr">
        <is>
          <t>Unassigned</t>
        </is>
      </c>
      <c r="P142" s="46" t="inlineStr">
        <is>
          <t>Cardona, Karyn</t>
        </is>
      </c>
      <c r="Q142" s="46" t="inlineStr">
        <is>
          <t>Resolved</t>
        </is>
      </c>
      <c r="R142" s="47"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S142" s="46" t="inlineStr"/>
      <c r="T142" s="46" t="inlineStr"/>
      <c r="U142" s="46" t="inlineStr"/>
      <c r="V142" s="57" t="inlineStr">
        <is>
          <t>Other</t>
        </is>
      </c>
      <c r="W142" s="46" t="inlineStr">
        <is>
          <t>Yes</t>
        </is>
      </c>
    </row>
    <row r="143">
      <c r="A143" s="43" t="inlineStr">
        <is>
          <t>IT-2986301</t>
        </is>
      </c>
      <c r="B143" s="43" t="inlineStr">
        <is>
          <t>IT-2986301</t>
        </is>
      </c>
      <c r="C143" s="43" t="inlineStr"/>
      <c r="D143" s="44" t="inlineStr">
        <is>
          <t>dm-centene-centene-actian_actian_migration_claims_total_count - "Pipeline failed in shell executer stage for 2026/04/11"</t>
        </is>
      </c>
      <c r="E143" s="44" t="inlineStr">
        <is>
          <t>Pipeline ID: 2024-04-19-89775245 Pipeline Name: dm-centene-centene-actian_actian_migration_claims_total_count</t>
        </is>
      </c>
      <c r="F143" s="44" t="inlineStr">
        <is>
          <t>investigated the issue and rerunning it will fix it once the pipeline is done-- verified the results and it looked good.</t>
        </is>
      </c>
      <c r="G143" s="44" t="inlineStr">
        <is>
          <t>shell executor issue -- investigated and rsubmit pipeline rsults generatd</t>
        </is>
      </c>
      <c r="H143" s="43" t="inlineStr">
        <is>
          <t>Other</t>
        </is>
      </c>
      <c r="I143" s="43" t="inlineStr">
        <is>
          <t>Other</t>
        </is>
      </c>
      <c r="J143" s="43" t="inlineStr"/>
      <c r="K143" s="43" t="inlineStr">
        <is>
          <t>Closed</t>
        </is>
      </c>
      <c r="L143" s="43" t="inlineStr">
        <is>
          <t>2026-04-13</t>
        </is>
      </c>
      <c r="M143" s="43" t="inlineStr">
        <is>
          <t>2026-04-13</t>
        </is>
      </c>
      <c r="N143" s="43" t="inlineStr">
        <is>
          <t>Nile Production Support</t>
        </is>
      </c>
      <c r="O143" s="43" t="inlineStr">
        <is>
          <t>Unassigned</t>
        </is>
      </c>
      <c r="P143" s="43" t="inlineStr">
        <is>
          <t>Limbu, Sajan</t>
        </is>
      </c>
      <c r="Q143" s="43" t="inlineStr">
        <is>
          <t>Resolved</t>
        </is>
      </c>
      <c r="R143" s="44" t="inlineStr">
        <is>
          <t>investigated the issue and rerunning it will fix it once the pipeline is done-- verified the results and it looked good.</t>
        </is>
      </c>
      <c r="S143" s="43" t="inlineStr"/>
      <c r="T143" s="43" t="inlineStr"/>
      <c r="U143" s="43" t="inlineStr"/>
      <c r="V143" s="62" t="inlineStr">
        <is>
          <t>Pipeline Schedule</t>
        </is>
      </c>
      <c r="W143" s="43" t="inlineStr"/>
    </row>
    <row r="144">
      <c r="A144" s="46" t="inlineStr">
        <is>
          <t>IT-2985806</t>
        </is>
      </c>
      <c r="B144" s="46" t="inlineStr">
        <is>
          <t>IT-2985806</t>
        </is>
      </c>
      <c r="C144" s="46" t="inlineStr"/>
      <c r="D144" s="47" t="inlineStr">
        <is>
          <t>Testing and promoting oscar - homegrown pipelines to prod using the new PPM template.</t>
        </is>
      </c>
      <c r="E144" s="47" t="inlineStr">
        <is>
          <t>Validating and deploying pipelines with the new PPM template to ensure proper functionality and compatibility. client - oscar - homegrown</t>
        </is>
      </c>
      <c r="F144" s="47" t="inlineStr">
        <is>
          <t>Subtask needed to be validated. The lean ingestion pipelines are now live in production.</t>
        </is>
      </c>
      <c r="G144" s="47" t="inlineStr">
        <is>
          <t>Lean_ingestion pipelines sent live.</t>
        </is>
      </c>
      <c r="H144" s="46" t="inlineStr">
        <is>
          <t>Other</t>
        </is>
      </c>
      <c r="I144" s="46" t="inlineStr">
        <is>
          <t>Other</t>
        </is>
      </c>
      <c r="J144" s="46" t="inlineStr"/>
      <c r="K144" s="46" t="inlineStr">
        <is>
          <t>Closed</t>
        </is>
      </c>
      <c r="L144" s="46" t="inlineStr">
        <is>
          <t>2026-04-13</t>
        </is>
      </c>
      <c r="M144" s="46" t="inlineStr">
        <is>
          <t>2026-04-29</t>
        </is>
      </c>
      <c r="N144" s="46" t="inlineStr">
        <is>
          <t>Nile Production Support</t>
        </is>
      </c>
      <c r="O144" s="46" t="inlineStr">
        <is>
          <t>Unassigned</t>
        </is>
      </c>
      <c r="P144" s="46" t="inlineStr">
        <is>
          <t>Karakavalasa, SriVarshini</t>
        </is>
      </c>
      <c r="Q144" s="46" t="inlineStr">
        <is>
          <t>Resolved</t>
        </is>
      </c>
      <c r="R144" s="47" t="inlineStr">
        <is>
          <t>Subtask needed to be validated. The lean ingestion pipelines are now live in production.</t>
        </is>
      </c>
      <c r="S144" s="46" t="inlineStr"/>
      <c r="T144" s="46" t="inlineStr"/>
      <c r="U144" s="46" t="inlineStr"/>
      <c r="V144" s="57" t="inlineStr">
        <is>
          <t>Other</t>
        </is>
      </c>
      <c r="W144" s="46" t="inlineStr">
        <is>
          <t>Yes</t>
        </is>
      </c>
    </row>
    <row r="145">
      <c r="A145" s="43" t="inlineStr">
        <is>
          <t>IT-2985721</t>
        </is>
      </c>
      <c r="B145" s="43" t="inlineStr">
        <is>
          <t>IT-2985721</t>
        </is>
      </c>
      <c r="C145" s="43" t="inlineStr"/>
      <c r="D145" s="44" t="inlineStr">
        <is>
          <t>Update the tracker with the newly deployed History pipelines for Premera and Geisinger that are now live in production.</t>
        </is>
      </c>
      <c r="E145" s="44"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F145" s="44" t="inlineStr"/>
      <c r="G145" s="44" t="inlineStr">
        <is>
          <t>Details recorded accordingly.</t>
        </is>
      </c>
      <c r="H145" s="43" t="inlineStr">
        <is>
          <t>Other</t>
        </is>
      </c>
      <c r="I145" s="43" t="inlineStr">
        <is>
          <t>Other</t>
        </is>
      </c>
      <c r="J145" s="43" t="inlineStr"/>
      <c r="K145" s="43" t="inlineStr">
        <is>
          <t>Closed</t>
        </is>
      </c>
      <c r="L145" s="43" t="inlineStr">
        <is>
          <t>2026-04-13</t>
        </is>
      </c>
      <c r="M145" s="43" t="inlineStr">
        <is>
          <t>2026-04-23</t>
        </is>
      </c>
      <c r="N145" s="43" t="inlineStr">
        <is>
          <t>Nile Production Support</t>
        </is>
      </c>
      <c r="O145" s="43" t="inlineStr">
        <is>
          <t>Unassigned</t>
        </is>
      </c>
      <c r="P145" s="43" t="inlineStr">
        <is>
          <t>Karakavalasa, SriVarshini</t>
        </is>
      </c>
      <c r="Q145" s="43" t="inlineStr">
        <is>
          <t>Resolved</t>
        </is>
      </c>
      <c r="R145" s="44" t="inlineStr"/>
      <c r="S145" s="43" t="inlineStr"/>
      <c r="T145" s="43" t="inlineStr"/>
      <c r="U145" s="43" t="inlineStr"/>
      <c r="V145" s="58" t="inlineStr">
        <is>
          <t>Other</t>
        </is>
      </c>
      <c r="W145" s="43" t="inlineStr">
        <is>
          <t>Yes</t>
        </is>
      </c>
    </row>
    <row r="146">
      <c r="A146" s="46" t="inlineStr">
        <is>
          <t>IT-2985453</t>
        </is>
      </c>
      <c r="B146" s="46" t="inlineStr">
        <is>
          <t>IT-2985453</t>
        </is>
      </c>
      <c r="C146" s="46" t="inlineStr"/>
      <c r="D146" s="47" t="inlineStr">
        <is>
          <t>Data issue:Monthly Pipeline dm-bcbsmi-bcn-actian_migration_member is getting failed for 2026/04/11</t>
        </is>
      </c>
      <c r="E146" s="47" t="inlineStr">
        <is>
          <t>Above pipeline due to unmatched raw data count name(s) BCNtoCotivitiMemberControl202604.txt Rejected records Impala table prod_niledataingestion_unrestricted.BCBS_MI_BCN_raw_member_rejected_records_202604_1 File data line count 6028037 Total raw data line count 6028037 Ingested row count 6027999 Action Required Investigate and fix if the issue is due to data quality, data load error, or some other reasons. If issue is minor and can be ignored, in Client Configuration set parameter member_unmatched_raw_count_override_202604 to 1 and proceed with the run Please investigate and suggest the required action.</t>
        </is>
      </c>
      <c r="F146" s="47"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G146" s="47" t="inlineStr">
        <is>
          <t>I Have check with EDM and they approve to move with the file ingestion</t>
        </is>
      </c>
      <c r="H146" s="46" t="inlineStr">
        <is>
          <t>Other</t>
        </is>
      </c>
      <c r="I146" s="46" t="inlineStr">
        <is>
          <t>Other</t>
        </is>
      </c>
      <c r="J146" s="46" t="inlineStr"/>
      <c r="K146" s="46" t="inlineStr">
        <is>
          <t>Closed</t>
        </is>
      </c>
      <c r="L146" s="46" t="inlineStr">
        <is>
          <t>2026-04-13</t>
        </is>
      </c>
      <c r="M146" s="46" t="inlineStr">
        <is>
          <t>2026-04-13</t>
        </is>
      </c>
      <c r="N146" s="46" t="inlineStr">
        <is>
          <t>Nile Production Support</t>
        </is>
      </c>
      <c r="O146" s="46" t="inlineStr">
        <is>
          <t>Unassigned</t>
        </is>
      </c>
      <c r="P146" s="46" t="inlineStr">
        <is>
          <t>Kandel, Amik</t>
        </is>
      </c>
      <c r="Q146" s="46" t="inlineStr">
        <is>
          <t>Resolved</t>
        </is>
      </c>
      <c r="R146" s="47"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S146" s="46" t="inlineStr"/>
      <c r="T146" s="46" t="inlineStr"/>
      <c r="U146" s="46" t="inlineStr"/>
      <c r="V146" s="50" t="inlineStr">
        <is>
          <t>File Issue</t>
        </is>
      </c>
      <c r="W146" s="46" t="inlineStr"/>
    </row>
    <row r="147">
      <c r="A147" s="43" t="inlineStr">
        <is>
          <t>IT-2984088</t>
        </is>
      </c>
      <c r="B147" s="43" t="inlineStr">
        <is>
          <t>IT-2984088</t>
        </is>
      </c>
      <c r="C147" s="43" t="inlineStr"/>
      <c r="D147" s="44" t="inlineStr">
        <is>
          <t>GEIHP - History INST. file - 04/11/2026</t>
        </is>
      </c>
      <c r="E147" s="44" t="inlineStr">
        <is>
          <t>Hi Nile Team, Below file has failed due to Header/Trailer issue. We received incomplete file, there is no trailer in the file. Could you please check and resend file for processing. File : geihp_ophistory_incoming_1.04-11-2026_2040 QA Status : FAILED Reason : FAILED QA Test Name: is_headtrail_tlr Pre/Post Run: 0 Result: FAILED</t>
        </is>
      </c>
      <c r="F147" s="44"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G147" s="44" t="inlineStr">
        <is>
          <t>We have received confirmation from the user, and the ticket has been closed. No replacement file is required.</t>
        </is>
      </c>
      <c r="H147" s="43" t="inlineStr"/>
      <c r="I147" s="43" t="inlineStr"/>
      <c r="J147" s="43" t="inlineStr"/>
      <c r="K147" s="43" t="inlineStr">
        <is>
          <t>Closed</t>
        </is>
      </c>
      <c r="L147" s="43" t="inlineStr">
        <is>
          <t>2026-04-11</t>
        </is>
      </c>
      <c r="M147" s="43" t="inlineStr">
        <is>
          <t>2026-04-13</t>
        </is>
      </c>
      <c r="N147" s="43" t="inlineStr">
        <is>
          <t>Nile Production Support</t>
        </is>
      </c>
      <c r="O147" s="43" t="inlineStr">
        <is>
          <t>Unassigned</t>
        </is>
      </c>
      <c r="P147" s="43" t="inlineStr">
        <is>
          <t>Gudala, Kumaraswamy</t>
        </is>
      </c>
      <c r="Q147" s="43" t="inlineStr">
        <is>
          <t>Closed</t>
        </is>
      </c>
      <c r="R147" s="44"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S147" s="43" t="inlineStr"/>
      <c r="T147" s="43" t="inlineStr"/>
      <c r="U147" s="43" t="inlineStr"/>
      <c r="V147" s="62" t="inlineStr">
        <is>
          <t>Pipeline Schedule</t>
        </is>
      </c>
      <c r="W147" s="43" t="inlineStr"/>
    </row>
    <row r="148">
      <c r="A148" s="46" t="inlineStr">
        <is>
          <t>IT-2983832</t>
        </is>
      </c>
      <c r="B148" s="46" t="inlineStr">
        <is>
          <t>IT-2983832</t>
        </is>
      </c>
      <c r="C148" s="46" t="inlineStr"/>
      <c r="D148" s="47" t="inlineStr">
        <is>
          <t>Data issue:Monthly pipeline dm-tufts-hrp-pharmacy_claims_GDF2_9 got failed for data date 2026/04/10</t>
        </is>
      </c>
      <c r="E148" s="47" t="inlineStr">
        <is>
          <t>Above pipeline got failed in HDFS File Copier-data_file [hdfs-copier] stage. Please investigate and help fix the issue.</t>
        </is>
      </c>
      <c r="F148" s="47" t="inlineStr">
        <is>
          <t>Hi Kandel, Amik , I have completed the initial analysis of this ticket. The issue appears to be caused by a permissions problem. I will coordinate with the Hadoop team to resolve it. pipeline reverified with user and closed this ticket.</t>
        </is>
      </c>
      <c r="G148" s="47" t="inlineStr">
        <is>
          <t>pipeline reverified with user and closed this ticket.</t>
        </is>
      </c>
      <c r="H148" s="46" t="inlineStr">
        <is>
          <t>Other</t>
        </is>
      </c>
      <c r="I148" s="46" t="inlineStr">
        <is>
          <t>Other</t>
        </is>
      </c>
      <c r="J148" s="46" t="inlineStr"/>
      <c r="K148" s="46" t="inlineStr">
        <is>
          <t>Closed</t>
        </is>
      </c>
      <c r="L148" s="46" t="inlineStr">
        <is>
          <t>2026-04-11</t>
        </is>
      </c>
      <c r="M148" s="46" t="inlineStr">
        <is>
          <t>2026-04-14</t>
        </is>
      </c>
      <c r="N148" s="46" t="inlineStr">
        <is>
          <t>Nile Production Support</t>
        </is>
      </c>
      <c r="O148" s="46" t="inlineStr">
        <is>
          <t>Unassigned</t>
        </is>
      </c>
      <c r="P148" s="46" t="inlineStr">
        <is>
          <t>Kandel, Amik</t>
        </is>
      </c>
      <c r="Q148" s="46" t="inlineStr">
        <is>
          <t>Resolved</t>
        </is>
      </c>
      <c r="R148" s="47" t="inlineStr">
        <is>
          <t>Hi Kandel, Amik , I have completed the initial analysis of this ticket. The issue appears to be caused by a permissions problem. I will coordinate with the Hadoop team to resolve it. pipeline reverified with user and closed this ticket.</t>
        </is>
      </c>
      <c r="S148" s="46" t="inlineStr"/>
      <c r="T148" s="46" t="inlineStr"/>
      <c r="U148" s="46" t="inlineStr"/>
      <c r="V148" s="52" t="inlineStr">
        <is>
          <t>Pipeline Schedule</t>
        </is>
      </c>
      <c r="W148" s="46" t="inlineStr"/>
    </row>
    <row r="149">
      <c r="A149" s="43" t="inlineStr">
        <is>
          <t>IT-2983282</t>
        </is>
      </c>
      <c r="B149" s="43" t="inlineStr">
        <is>
          <t>IT-2983282</t>
        </is>
      </c>
      <c r="C149" s="43" t="inlineStr"/>
      <c r="D149" s="44" t="inlineStr">
        <is>
          <t>Tuft-HRP pipeline is failing due to user permission denied</t>
        </is>
      </c>
      <c r="E149" s="44" t="inlineStr">
        <is>
          <t>The dm-tufts-hrp-pharmacy_claims_GDF2_9 pipeline is currently failing with a “Destination Copy Failure” error. After analysis, I found that the issue is due to insufficient permissions for the user in Hadoop, resulting in a “permission denied” error.</t>
        </is>
      </c>
      <c r="F149" s="44" t="inlineStr">
        <is>
          <t>Files have been delivered</t>
        </is>
      </c>
      <c r="G149" s="44" t="inlineStr">
        <is>
          <t>2026/04/10 files were delivered successfully</t>
        </is>
      </c>
      <c r="H149" s="43" t="inlineStr">
        <is>
          <t>Other</t>
        </is>
      </c>
      <c r="I149" s="43" t="inlineStr">
        <is>
          <t>Other</t>
        </is>
      </c>
      <c r="J149" s="43" t="inlineStr"/>
      <c r="K149" s="43" t="inlineStr">
        <is>
          <t>Closed</t>
        </is>
      </c>
      <c r="L149" s="43" t="inlineStr">
        <is>
          <t>2026-04-10</t>
        </is>
      </c>
      <c r="M149" s="43" t="inlineStr">
        <is>
          <t>2026-04-13</t>
        </is>
      </c>
      <c r="N149" s="43" t="inlineStr">
        <is>
          <t>Nile Production Support</t>
        </is>
      </c>
      <c r="O149" s="43" t="inlineStr">
        <is>
          <t>Unassigned</t>
        </is>
      </c>
      <c r="P149" s="43" t="inlineStr">
        <is>
          <t>Kabeya, Joel</t>
        </is>
      </c>
      <c r="Q149" s="43" t="inlineStr">
        <is>
          <t>Resolved</t>
        </is>
      </c>
      <c r="R149" s="44" t="inlineStr">
        <is>
          <t>Files have been delivered</t>
        </is>
      </c>
      <c r="S149" s="43" t="inlineStr"/>
      <c r="T149" s="43" t="inlineStr"/>
      <c r="U149" s="43" t="inlineStr"/>
      <c r="V149" s="62" t="inlineStr">
        <is>
          <t>Pipeline Schedule</t>
        </is>
      </c>
      <c r="W149" s="43" t="inlineStr"/>
    </row>
    <row r="150">
      <c r="A150" s="46" t="inlineStr">
        <is>
          <t>IT-2982952</t>
        </is>
      </c>
      <c r="B150" s="46" t="inlineStr">
        <is>
          <t>IT-2982952</t>
        </is>
      </c>
      <c r="C150" s="46" t="inlineStr"/>
      <c r="D150" s="47" t="inlineStr">
        <is>
          <t>Request for presbyterian - hrp Monthly improvement</t>
        </is>
      </c>
      <c r="E150" s="47"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F150" s="47"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G150" s="47" t="inlineStr">
        <is>
          <t>Introduced a weekly data validation module to enhance visibility into processed files and those pending processing.</t>
        </is>
      </c>
      <c r="H150" s="46" t="inlineStr">
        <is>
          <t>Other</t>
        </is>
      </c>
      <c r="I150" s="46" t="inlineStr">
        <is>
          <t>Other</t>
        </is>
      </c>
      <c r="J150" s="46" t="inlineStr"/>
      <c r="K150" s="46" t="inlineStr">
        <is>
          <t>Closed</t>
        </is>
      </c>
      <c r="L150" s="46" t="inlineStr">
        <is>
          <t>2026-04-10</t>
        </is>
      </c>
      <c r="M150" s="46" t="inlineStr">
        <is>
          <t>2026-04-29</t>
        </is>
      </c>
      <c r="N150" s="46" t="inlineStr">
        <is>
          <t>Nile Production Support</t>
        </is>
      </c>
      <c r="O150" s="46" t="inlineStr">
        <is>
          <t>Unassigned</t>
        </is>
      </c>
      <c r="P150" s="46" t="inlineStr">
        <is>
          <t>Kabeya, Joel</t>
        </is>
      </c>
      <c r="Q150" s="46" t="inlineStr">
        <is>
          <t>Resolved</t>
        </is>
      </c>
      <c r="R150" s="47"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S150" s="46" t="inlineStr"/>
      <c r="T150" s="46" t="inlineStr"/>
      <c r="U150" s="46" t="inlineStr"/>
      <c r="V150" s="55" t="inlineStr">
        <is>
          <t>Data Issue</t>
        </is>
      </c>
      <c r="W150" s="46" t="inlineStr"/>
    </row>
    <row r="151">
      <c r="A151" s="43" t="inlineStr">
        <is>
          <t>IT-2982754</t>
        </is>
      </c>
      <c r="B151" s="43" t="inlineStr">
        <is>
          <t>IT-2982754</t>
        </is>
      </c>
      <c r="C151" s="43" t="inlineStr"/>
      <c r="D151" s="44" t="inlineStr">
        <is>
          <t>Please Create Pipeline dm-mcl-mcl-actian_migration_ING_HCPCSIndicators_Pipe</t>
        </is>
      </c>
      <c r="E151" s="44" t="inlineStr">
        <is>
          <t>Hello Nile Team. Please create a new pipeline - dm-mcl-mcl-actian_migration_ING_HCPCSIndicators_Pipe This will serve as a alternate pipeline to existing pipeline dm-mcl-mcl-actian_migration_ING_HCPCSIndicators . This new pipeline will have a source file as pipe-delimited with a header record. The file must be loaded in Append mode, since data already exists in the SQL table. The DDDL for the SQL table is attached. Here are some notes on the columns: The BETOS field is not mapped to SQL The EffectiveDt column is taken from the name of the folder containing the source file and is the first day of the calendar quarter (i.e., YYYY-01-01 YYYY-04-01 YYYY-07-01 YYYY-10-01) For example if the folder is Y:\Ftp\B2B\MCL-NILE\Ingenix\HCPCS\2026-04-01 then the EffectiveDt is 2026-04-01. The EndDt column is the last day of the quarter being loaded (i.e., if EffectiveDt = YYYY-01-01 then EndDt = YYYY-03-31 if EffectiveDt = YYYY-04-01 then EndDt = YYYY-06-30 if EffectiveDt = YYYY-07-01 then EndDt = YYYY-09-30 if EffectiveDt = YYYY-10-01 then EndDt = YYYY-12-31) The file name pattern is OPTUM_HCPCS_INDICATORS_YYYY_MM_pipe.txt</t>
        </is>
      </c>
      <c r="F151" s="44" t="inlineStr">
        <is>
          <t>DDDL_for_Ing_HCPCSIndicators_Table.txt (0.4 kB) Hi Kamsetty, Sravani . I have reviewed the table for this new pipeline and the data looks good. You can close this ticket. Thanks for creating this pipeline so quickly! Mike Thanks for the Confirmation Mike.</t>
        </is>
      </c>
      <c r="G151" s="44" t="inlineStr">
        <is>
          <t>Pipeline created and file loaded successfully.</t>
        </is>
      </c>
      <c r="H151" s="43" t="inlineStr">
        <is>
          <t>Other</t>
        </is>
      </c>
      <c r="I151" s="43" t="inlineStr">
        <is>
          <t>Other</t>
        </is>
      </c>
      <c r="J151" s="43" t="inlineStr"/>
      <c r="K151" s="43" t="inlineStr">
        <is>
          <t>Closed</t>
        </is>
      </c>
      <c r="L151" s="43" t="inlineStr">
        <is>
          <t>2026-04-10</t>
        </is>
      </c>
      <c r="M151" s="43" t="inlineStr">
        <is>
          <t>2026-04-17</t>
        </is>
      </c>
      <c r="N151" s="43" t="inlineStr">
        <is>
          <t>Nile Production Support</t>
        </is>
      </c>
      <c r="O151" s="43" t="inlineStr">
        <is>
          <t>Unassigned</t>
        </is>
      </c>
      <c r="P151" s="43" t="inlineStr">
        <is>
          <t>Deynarian, Michael</t>
        </is>
      </c>
      <c r="Q151" s="43" t="inlineStr">
        <is>
          <t>Resolved</t>
        </is>
      </c>
      <c r="R151" s="44" t="inlineStr">
        <is>
          <t>DDDL_for_Ing_HCPCSIndicators_Table.txt (0.4 kB) Hi Kamsetty, Sravani . I have reviewed the table for this new pipeline and the data looks good. You can close this ticket. Thanks for creating this pipeline so quickly! Mike Thanks for the Confirmation Mike.</t>
        </is>
      </c>
      <c r="S151" s="43" t="inlineStr"/>
      <c r="T151" s="43" t="inlineStr"/>
      <c r="U151" s="43" t="inlineStr"/>
      <c r="V151" s="53" t="inlineStr">
        <is>
          <t>File Issue</t>
        </is>
      </c>
      <c r="W151" s="43" t="inlineStr"/>
    </row>
    <row r="152">
      <c r="A152" s="46" t="inlineStr">
        <is>
          <t>IT-2982706</t>
        </is>
      </c>
      <c r="B152" s="46" t="inlineStr">
        <is>
          <t>IT-2982706</t>
        </is>
      </c>
      <c r="C152" s="46" t="inlineStr"/>
      <c r="D152" s="47" t="inlineStr">
        <is>
          <t>trigger_bmc_workflow-uhc-unet_monthly_DataLoads_V2</t>
        </is>
      </c>
      <c r="E152" s="47"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F152" s="47" t="inlineStr">
        <is>
          <t>changed and published pipelines to get picked up by the trigger pipeline changed spooler required to Y for all pipelines also changed config to show pre-checks using LATEST version created and scheduled trigger BMC reassigning to Easley, Keaton</t>
        </is>
      </c>
      <c r="G152" s="47" t="inlineStr"/>
      <c r="H152" s="46" t="inlineStr">
        <is>
          <t>Other</t>
        </is>
      </c>
      <c r="I152" s="46" t="inlineStr">
        <is>
          <t>Other</t>
        </is>
      </c>
      <c r="J152" s="46" t="inlineStr"/>
      <c r="K152" s="46" t="inlineStr">
        <is>
          <t>In Progress (HD1)</t>
        </is>
      </c>
      <c r="L152" s="46" t="inlineStr">
        <is>
          <t>2026-04-10</t>
        </is>
      </c>
      <c r="M152" s="46" t="inlineStr">
        <is>
          <t>2026-04-10</t>
        </is>
      </c>
      <c r="N152" s="46" t="inlineStr">
        <is>
          <t>Nile Production Support</t>
        </is>
      </c>
      <c r="O152" s="46" t="inlineStr">
        <is>
          <t>Unassigned</t>
        </is>
      </c>
      <c r="P152" s="46" t="inlineStr">
        <is>
          <t>Easley, Keaton</t>
        </is>
      </c>
      <c r="Q152" s="46" t="inlineStr">
        <is>
          <t>Unresolved</t>
        </is>
      </c>
      <c r="R152" s="47" t="inlineStr">
        <is>
          <t>changed and published pipelines to get picked up by the trigger pipeline changed spooler required to Y for all pipelines also changed config to show pre-checks using LATEST version created and scheduled trigger BMC reassigning to Easley, Keaton</t>
        </is>
      </c>
      <c r="S152" s="46" t="inlineStr"/>
      <c r="T152" s="46" t="inlineStr"/>
      <c r="U152" s="46" t="inlineStr"/>
      <c r="V152" s="54" t="inlineStr">
        <is>
          <t>Configuration Issue</t>
        </is>
      </c>
      <c r="W152" s="46" t="inlineStr"/>
    </row>
    <row r="153">
      <c r="A153" s="43" t="inlineStr">
        <is>
          <t>IT-2982677</t>
        </is>
      </c>
      <c r="B153" s="43" t="inlineStr">
        <is>
          <t>IT-2982677</t>
        </is>
      </c>
      <c r="C153" s="43" t="inlineStr"/>
      <c r="D153" s="44" t="inlineStr">
        <is>
          <t>UHC Unet FI/ASO - Discrepency in File Ingestion Lineage report vs SQL table</t>
        </is>
      </c>
      <c r="E153" s="44" t="inlineStr">
        <is>
          <t>Hello Nile Production Team, The lineage report for the pipelines mentioned below shows only one file ingestion. However, it should reflect two files (regular claims and UHGEE claims). When I query the SQL table, both files appear to be ingested successfully. Could someone please help investigate what’s happening here? I have attached snapshot for reference. Pipelines are; dm-uhc-unet-actian_migration_claimsasophy dm-uhc-unet-actian_migration_claimsfinon dm-uhc-unet-actian_migration_claimsfifac Thanks, Priya</t>
        </is>
      </c>
      <c r="F153" s="44" t="inlineStr">
        <is>
          <t>I have started work on this ticket. We have identified the issue and will resolve it by adding a parameter and updating the pipeline configuration. We will keep you informed on the progress. we have to check with user once.</t>
        </is>
      </c>
      <c r="G153" s="44" t="inlineStr"/>
      <c r="H153" s="43" t="inlineStr">
        <is>
          <t>Other</t>
        </is>
      </c>
      <c r="I153" s="43" t="inlineStr">
        <is>
          <t>Other</t>
        </is>
      </c>
      <c r="J153" s="43" t="inlineStr"/>
      <c r="K153" s="43" t="inlineStr">
        <is>
          <t>On Hold</t>
        </is>
      </c>
      <c r="L153" s="43" t="inlineStr">
        <is>
          <t>2026-04-10</t>
        </is>
      </c>
      <c r="M153" s="43" t="inlineStr">
        <is>
          <t>2026-04-21</t>
        </is>
      </c>
      <c r="N153" s="43" t="inlineStr">
        <is>
          <t>Nile Production Support</t>
        </is>
      </c>
      <c r="O153" s="43" t="inlineStr">
        <is>
          <t>Unassigned</t>
        </is>
      </c>
      <c r="P153" s="43" t="inlineStr">
        <is>
          <t>Dongol, Priya</t>
        </is>
      </c>
      <c r="Q153" s="43" t="inlineStr">
        <is>
          <t>Unresolved</t>
        </is>
      </c>
      <c r="R153" s="44" t="inlineStr">
        <is>
          <t>I have started work on this ticket. We have identified the issue and will resolve it by adding a parameter and updating the pipeline configuration. We will keep you informed on the progress. we have to check with user once.</t>
        </is>
      </c>
      <c r="S153" s="43" t="inlineStr"/>
      <c r="T153" s="43" t="inlineStr"/>
      <c r="U153" s="43" t="inlineStr"/>
      <c r="V153" s="49" t="inlineStr">
        <is>
          <t>Configuration Issue</t>
        </is>
      </c>
      <c r="W153" s="43" t="inlineStr"/>
    </row>
    <row r="154">
      <c r="A154" s="46" t="inlineStr">
        <is>
          <t>IT-2982622</t>
        </is>
      </c>
      <c r="B154" s="46" t="inlineStr">
        <is>
          <t>IT-2982622</t>
        </is>
      </c>
      <c r="C154" s="46" t="inlineStr"/>
      <c r="D154" s="47" t="inlineStr">
        <is>
          <t>trigger_bmc_workflow-uhc-unet_monthly_Incremental_Dataload</t>
        </is>
      </c>
      <c r="E154" s="47" t="inlineStr">
        <is>
          <t>trigger_bmc_workflow-uhc-unet_monthly_Incremental_Dataload has not ran since December. not sure the issue here</t>
        </is>
      </c>
      <c r="F154" s="47"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G154" s="47" t="inlineStr">
        <is>
          <t>need to create 2 new BMC pipelines. One for the first run and the second one is for the 2nd and 3rd run of each month.</t>
        </is>
      </c>
      <c r="H154" s="46" t="inlineStr">
        <is>
          <t>Other</t>
        </is>
      </c>
      <c r="I154" s="46" t="inlineStr">
        <is>
          <t>Other</t>
        </is>
      </c>
      <c r="J154" s="46" t="inlineStr"/>
      <c r="K154" s="46" t="inlineStr">
        <is>
          <t>Closed</t>
        </is>
      </c>
      <c r="L154" s="46" t="inlineStr">
        <is>
          <t>2026-04-10</t>
        </is>
      </c>
      <c r="M154" s="46" t="inlineStr">
        <is>
          <t>2026-04-13</t>
        </is>
      </c>
      <c r="N154" s="46" t="inlineStr">
        <is>
          <t>Nile Production Support</t>
        </is>
      </c>
      <c r="O154" s="46" t="inlineStr">
        <is>
          <t>Unassigned</t>
        </is>
      </c>
      <c r="P154" s="46" t="inlineStr">
        <is>
          <t>Easley, Keaton</t>
        </is>
      </c>
      <c r="Q154" s="46" t="inlineStr">
        <is>
          <t>Resolved</t>
        </is>
      </c>
      <c r="R154" s="47"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S154" s="46" t="inlineStr"/>
      <c r="T154" s="46" t="inlineStr"/>
      <c r="U154" s="46" t="inlineStr"/>
      <c r="V154" s="57" t="inlineStr">
        <is>
          <t>Other</t>
        </is>
      </c>
      <c r="W154" s="46" t="inlineStr">
        <is>
          <t>Yes</t>
        </is>
      </c>
    </row>
    <row r="155">
      <c r="A155" s="43" t="inlineStr">
        <is>
          <t>IT-2982545</t>
        </is>
      </c>
      <c r="B155" s="43" t="inlineStr">
        <is>
          <t>IT-2982545</t>
        </is>
      </c>
      <c r="C155" s="43" t="inlineStr"/>
      <c r="D155" s="44" t="inlineStr">
        <is>
          <t>trigger_bmc_workflow-uhc-unet_monthly_UnetAso</t>
        </is>
      </c>
      <c r="E155" s="44" t="inlineStr">
        <is>
          <t>all pipelines are completed successfully error_list=dm-uhc-unet-actian_migration_claimsasophy: Missing data, can_proceed=0</t>
        </is>
      </c>
      <c r="F155" s="44" t="inlineStr">
        <is>
          <t>Created a new version to set spooler YN to Y need to publish the pipelines setup config pre checks to show latest and make sure subscribr is set on the BMC trigger assigning to Easley, Keaton</t>
        </is>
      </c>
      <c r="G155" s="44" t="inlineStr"/>
      <c r="H155" s="43" t="inlineStr">
        <is>
          <t>Other</t>
        </is>
      </c>
      <c r="I155" s="43" t="inlineStr">
        <is>
          <t>Other</t>
        </is>
      </c>
      <c r="J155" s="43" t="inlineStr"/>
      <c r="K155" s="43" t="inlineStr">
        <is>
          <t>In Progress (HD1)</t>
        </is>
      </c>
      <c r="L155" s="43" t="inlineStr">
        <is>
          <t>2026-04-10</t>
        </is>
      </c>
      <c r="M155" s="43" t="inlineStr">
        <is>
          <t>2026-04-10</t>
        </is>
      </c>
      <c r="N155" s="43" t="inlineStr">
        <is>
          <t>Nile Production Support</t>
        </is>
      </c>
      <c r="O155" s="43" t="inlineStr">
        <is>
          <t>Unassigned</t>
        </is>
      </c>
      <c r="P155" s="43" t="inlineStr">
        <is>
          <t>Easley, Keaton</t>
        </is>
      </c>
      <c r="Q155" s="43" t="inlineStr">
        <is>
          <t>Unresolved</t>
        </is>
      </c>
      <c r="R155" s="44" t="inlineStr">
        <is>
          <t>Created a new version to set spooler YN to Y need to publish the pipelines setup config pre checks to show latest and make sure subscribr is set on the BMC trigger assigning to Easley, Keaton</t>
        </is>
      </c>
      <c r="S155" s="43" t="inlineStr"/>
      <c r="T155" s="43" t="inlineStr"/>
      <c r="U155" s="43" t="inlineStr"/>
      <c r="V155" s="49" t="inlineStr">
        <is>
          <t>Configuration Issue</t>
        </is>
      </c>
      <c r="W155" s="43" t="inlineStr"/>
    </row>
    <row r="156">
      <c r="A156" s="46" t="inlineStr">
        <is>
          <t>IT-2982066</t>
        </is>
      </c>
      <c r="B156" s="46" t="inlineStr">
        <is>
          <t>IT-2982066</t>
        </is>
      </c>
      <c r="C156" s="46" t="inlineStr"/>
      <c r="D156" s="47" t="inlineStr">
        <is>
          <t>dm-healthspring-healthspring-actian_migration_trigger_Monthly_pipelines failed in Shell Executor [shell-executor] stage</t>
        </is>
      </c>
      <c r="E156" s="47" t="inlineStr">
        <is>
          <t>Can you please do check on the failed pipeline for dm-healthspring-healthspring-actian_migration_trigger_Monthly_pipelines which is failed in Shell Executor [shell-executor] stage On previous month 12 files used to come, now its 10 files only. but the pipeline don't show file missing issue.</t>
        </is>
      </c>
      <c r="F156" s="47"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G156" s="47" t="inlineStr">
        <is>
          <t>Files received and processed successfully.</t>
        </is>
      </c>
      <c r="H156" s="46" t="inlineStr">
        <is>
          <t>Other</t>
        </is>
      </c>
      <c r="I156" s="46" t="inlineStr">
        <is>
          <t>Other</t>
        </is>
      </c>
      <c r="J156" s="46" t="inlineStr"/>
      <c r="K156" s="46" t="inlineStr">
        <is>
          <t>Closed</t>
        </is>
      </c>
      <c r="L156" s="46" t="inlineStr">
        <is>
          <t>2026-04-10</t>
        </is>
      </c>
      <c r="M156" s="46" t="inlineStr">
        <is>
          <t>2026-04-20</t>
        </is>
      </c>
      <c r="N156" s="46" t="inlineStr">
        <is>
          <t>Nile Production Support</t>
        </is>
      </c>
      <c r="O156" s="46" t="inlineStr">
        <is>
          <t>Unassigned</t>
        </is>
      </c>
      <c r="P156" s="46" t="inlineStr">
        <is>
          <t>Raya, Birajan</t>
        </is>
      </c>
      <c r="Q156" s="46" t="inlineStr">
        <is>
          <t>Resolved</t>
        </is>
      </c>
      <c r="R156" s="47"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S156" s="46" t="inlineStr"/>
      <c r="T156" s="46" t="inlineStr"/>
      <c r="U156" s="46" t="inlineStr"/>
      <c r="V156" s="52" t="inlineStr">
        <is>
          <t>Pipeline Schedule</t>
        </is>
      </c>
      <c r="W156" s="46" t="inlineStr"/>
    </row>
    <row r="157">
      <c r="A157" s="43" t="inlineStr">
        <is>
          <t>IT-2981879</t>
        </is>
      </c>
      <c r="B157" s="43" t="inlineStr">
        <is>
          <t>IT-2981879</t>
        </is>
      </c>
      <c r="C157" s="43" t="inlineStr"/>
      <c r="D157" s="44" t="inlineStr">
        <is>
          <t>Production Transition - Aetna - MR</t>
        </is>
      </c>
      <c r="E157" s="44" t="inlineStr">
        <is>
          <t>Production Transition - Aetna - MR</t>
        </is>
      </c>
      <c r="F157" s="44" t="inlineStr">
        <is>
          <t>Waiting for documents</t>
        </is>
      </c>
      <c r="G157" s="44" t="inlineStr"/>
      <c r="H157" s="43" t="inlineStr">
        <is>
          <t>Other</t>
        </is>
      </c>
      <c r="I157" s="43" t="inlineStr">
        <is>
          <t>Other</t>
        </is>
      </c>
      <c r="J157" s="43" t="inlineStr"/>
      <c r="K157" s="43" t="inlineStr">
        <is>
          <t>On Hold</t>
        </is>
      </c>
      <c r="L157" s="43" t="inlineStr">
        <is>
          <t>2026-04-10</t>
        </is>
      </c>
      <c r="M157" s="43" t="inlineStr">
        <is>
          <t>2026-05-05</t>
        </is>
      </c>
      <c r="N157" s="43" t="inlineStr">
        <is>
          <t>Nile Production Support</t>
        </is>
      </c>
      <c r="O157" s="43" t="inlineStr">
        <is>
          <t>Unassigned</t>
        </is>
      </c>
      <c r="P157" s="43" t="inlineStr">
        <is>
          <t>Sundaramurthy, Ramyavadhana</t>
        </is>
      </c>
      <c r="Q157" s="43" t="inlineStr">
        <is>
          <t>Unresolved</t>
        </is>
      </c>
      <c r="R157" s="44" t="inlineStr">
        <is>
          <t>Waiting for documents</t>
        </is>
      </c>
      <c r="S157" s="43" t="inlineStr"/>
      <c r="T157" s="43" t="inlineStr"/>
      <c r="U157" s="43" t="inlineStr"/>
      <c r="V157" s="58" t="inlineStr">
        <is>
          <t>Other</t>
        </is>
      </c>
      <c r="W157" s="43" t="inlineStr">
        <is>
          <t>Yes</t>
        </is>
      </c>
    </row>
    <row r="158">
      <c r="A158" s="46" t="inlineStr">
        <is>
          <t>IT-2981131</t>
        </is>
      </c>
      <c r="B158" s="46" t="inlineStr">
        <is>
          <t>IT-2981131</t>
        </is>
      </c>
      <c r="C158" s="46" t="inlineStr"/>
      <c r="D158" s="47" t="inlineStr">
        <is>
          <t>Need a copy of data from Nile PROD to Nile Dev Location</t>
        </is>
      </c>
      <c r="E158" s="47"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F158" s="47"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G158" s="47" t="inlineStr">
        <is>
          <t>data copied as requested and verified.</t>
        </is>
      </c>
      <c r="H158" s="46" t="inlineStr">
        <is>
          <t>Other</t>
        </is>
      </c>
      <c r="I158" s="46" t="inlineStr">
        <is>
          <t>Other</t>
        </is>
      </c>
      <c r="J158" s="46" t="inlineStr"/>
      <c r="K158" s="46" t="inlineStr">
        <is>
          <t>Closed</t>
        </is>
      </c>
      <c r="L158" s="46" t="inlineStr">
        <is>
          <t>2026-04-09</t>
        </is>
      </c>
      <c r="M158" s="46" t="inlineStr">
        <is>
          <t>2026-04-09</t>
        </is>
      </c>
      <c r="N158" s="46" t="inlineStr">
        <is>
          <t>Nile Production Support</t>
        </is>
      </c>
      <c r="O158" s="46" t="inlineStr">
        <is>
          <t>Unassigned</t>
        </is>
      </c>
      <c r="P158" s="46" t="inlineStr">
        <is>
          <t>Vadla, Shivani</t>
        </is>
      </c>
      <c r="Q158" s="46" t="inlineStr">
        <is>
          <t>Resolved</t>
        </is>
      </c>
      <c r="R158" s="47"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S158" s="46" t="inlineStr"/>
      <c r="T158" s="46" t="inlineStr"/>
      <c r="U158" s="46" t="inlineStr"/>
      <c r="V158" s="57" t="inlineStr">
        <is>
          <t>Other</t>
        </is>
      </c>
      <c r="W158" s="46" t="inlineStr">
        <is>
          <t>Yes</t>
        </is>
      </c>
    </row>
    <row r="159">
      <c r="A159" s="43" t="inlineStr">
        <is>
          <t>IT-2980746</t>
        </is>
      </c>
      <c r="B159" s="43" t="inlineStr">
        <is>
          <t>IT-2980746</t>
        </is>
      </c>
      <c r="C159" s="43" t="inlineStr"/>
      <c r="D159" s="44" t="inlineStr">
        <is>
          <t>Pipeline: dm-uhc-csp-actian-migration_sub_group | Errors Found 20260405</t>
        </is>
      </c>
      <c r="E159" s="44" t="inlineStr">
        <is>
          <t>Email Ref: Actian Migration - Errors Found 20260405 - 1 - prod - dm-uhc-csp-actian-migration_sub_group Pipeline: dm-uhc-csp-actian-migration_sub_group , Version: V1, Data Date: 2026/04/05, Source Set: 1 Source entity csp_sub_group Impala database prod_niledataingestion_restricted Raw data Impala table uhc_csp_raw_csp_sub_group_20260405_1 Transformed data Impala table uhc_csp_transformed_csp_sub_group_20260405_1 Raw file name(s) CSP_SUB_GROUP_WEEKLY_OUT_APR26_WEEK1.txt Errors ** Error Description Error count Error Percentage SgsgName should have a maximum of 50 characters 1 0.03 field statistics summary detail Action Required Investigate and fix if the issue is due to transform mapping or some other reason. If issue is to be ignored, in Client Configuration set parameter csp_sub_group_unmatched_validation_error_count_override_20260405 to 1 and proceed with the run Please investigate. Thank you</t>
        </is>
      </c>
      <c r="F159" s="44" t="inlineStr">
        <is>
          <t>updated Validation UDC and reran the pipeline. completed also Thanks Satish Devatha</t>
        </is>
      </c>
      <c r="G159" s="44" t="inlineStr">
        <is>
          <t>Pipeline completed</t>
        </is>
      </c>
      <c r="H159" s="43" t="inlineStr">
        <is>
          <t>Other</t>
        </is>
      </c>
      <c r="I159" s="43" t="inlineStr">
        <is>
          <t>Other</t>
        </is>
      </c>
      <c r="J159" s="43" t="inlineStr"/>
      <c r="K159" s="43" t="inlineStr">
        <is>
          <t>Closed</t>
        </is>
      </c>
      <c r="L159" s="43" t="inlineStr">
        <is>
          <t>2026-04-09</t>
        </is>
      </c>
      <c r="M159" s="43" t="inlineStr">
        <is>
          <t>2026-04-09</t>
        </is>
      </c>
      <c r="N159" s="43" t="inlineStr">
        <is>
          <t>Nile Production Support</t>
        </is>
      </c>
      <c r="O159" s="43" t="inlineStr">
        <is>
          <t>Unassigned</t>
        </is>
      </c>
      <c r="P159" s="43" t="inlineStr">
        <is>
          <t>Enid Ike</t>
        </is>
      </c>
      <c r="Q159" s="43" t="inlineStr">
        <is>
          <t>Resolved</t>
        </is>
      </c>
      <c r="R159" s="44" t="inlineStr">
        <is>
          <t>updated Validation UDC and reran the pipeline. completed also Thanks Satish Devatha</t>
        </is>
      </c>
      <c r="S159" s="43" t="inlineStr"/>
      <c r="T159" s="43" t="inlineStr"/>
      <c r="U159" s="43" t="inlineStr"/>
      <c r="V159" s="49" t="inlineStr">
        <is>
          <t>Configuration Issue</t>
        </is>
      </c>
      <c r="W159" s="43" t="inlineStr"/>
    </row>
    <row r="160">
      <c r="A160" s="46" t="inlineStr">
        <is>
          <t>IT-2980704</t>
        </is>
      </c>
      <c r="B160" s="46" t="inlineStr">
        <is>
          <t>IT-2980704</t>
        </is>
      </c>
      <c r="C160" s="46" t="inlineStr"/>
      <c r="D160" s="47" t="inlineStr">
        <is>
          <t>help needed on prioritize UHC process on dc-pine</t>
        </is>
      </c>
      <c r="E160" s="47" t="inlineStr">
        <is>
          <t>Nile Team these are the priority of the process that runs on dc-pine, highlight in yellow below need Nile help, would you please help and let us know if you have any questions? please see attached message</t>
        </is>
      </c>
      <c r="F160" s="47"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G160" s="47" t="inlineStr">
        <is>
          <t>paused pipelines as requested.</t>
        </is>
      </c>
      <c r="H160" s="46" t="inlineStr">
        <is>
          <t>Other</t>
        </is>
      </c>
      <c r="I160" s="46" t="inlineStr">
        <is>
          <t>Other</t>
        </is>
      </c>
      <c r="J160" s="46" t="inlineStr"/>
      <c r="K160" s="46" t="inlineStr">
        <is>
          <t>Closed</t>
        </is>
      </c>
      <c r="L160" s="46" t="inlineStr">
        <is>
          <t>2026-04-09</t>
        </is>
      </c>
      <c r="M160" s="46" t="inlineStr">
        <is>
          <t>2026-04-09</t>
        </is>
      </c>
      <c r="N160" s="46" t="inlineStr">
        <is>
          <t>Nile Production Support</t>
        </is>
      </c>
      <c r="O160" s="46" t="inlineStr">
        <is>
          <t>Unassigned</t>
        </is>
      </c>
      <c r="P160" s="46" t="inlineStr">
        <is>
          <t>Tang, Chao</t>
        </is>
      </c>
      <c r="Q160" s="46" t="inlineStr">
        <is>
          <t>Resolved</t>
        </is>
      </c>
      <c r="R160" s="47"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S160" s="46" t="inlineStr"/>
      <c r="T160" s="46" t="inlineStr"/>
      <c r="U160" s="46" t="inlineStr"/>
      <c r="V160" s="50" t="inlineStr">
        <is>
          <t>File Issue</t>
        </is>
      </c>
      <c r="W160" s="46" t="inlineStr"/>
    </row>
    <row r="161">
      <c r="A161" s="43" t="inlineStr">
        <is>
          <t>IT-2980439</t>
        </is>
      </c>
      <c r="B161" s="43" t="inlineStr">
        <is>
          <t>IT-2980439</t>
        </is>
      </c>
      <c r="C161" s="43" t="inlineStr"/>
      <c r="D161" s="44" t="inlineStr">
        <is>
          <t>Created a runbook for Lean ingestion pipelines for Premera and Geisinger.</t>
        </is>
      </c>
      <c r="E161" s="44" t="inlineStr">
        <is>
          <t>Geisinger Facets_PPM_Lean_Ingestion_Run_Book.docx Premera BlueCross_PPM_Lean_Ingestion_Run_Book.docx</t>
        </is>
      </c>
      <c r="F161" s="44" t="inlineStr">
        <is>
          <t>Geisinger Facets_PPM_Lean_Ingestion_Run_Book.docx Premera BlueCross_PPM_Lean_Ingestion_Run_Book.docx</t>
        </is>
      </c>
      <c r="G161" s="44" t="inlineStr">
        <is>
          <t>Attached the run books in the comments.</t>
        </is>
      </c>
      <c r="H161" s="43" t="inlineStr">
        <is>
          <t>Other</t>
        </is>
      </c>
      <c r="I161" s="43" t="inlineStr">
        <is>
          <t>Other</t>
        </is>
      </c>
      <c r="J161" s="43" t="inlineStr"/>
      <c r="K161" s="43" t="inlineStr">
        <is>
          <t>Closed</t>
        </is>
      </c>
      <c r="L161" s="43" t="inlineStr">
        <is>
          <t>2026-04-09</t>
        </is>
      </c>
      <c r="M161" s="43" t="inlineStr">
        <is>
          <t>2026-04-09</t>
        </is>
      </c>
      <c r="N161" s="43" t="inlineStr">
        <is>
          <t>Nile Production Support</t>
        </is>
      </c>
      <c r="O161" s="43" t="inlineStr">
        <is>
          <t>Unassigned</t>
        </is>
      </c>
      <c r="P161" s="43" t="inlineStr">
        <is>
          <t>Karakavalasa, SriVarshini</t>
        </is>
      </c>
      <c r="Q161" s="43" t="inlineStr">
        <is>
          <t>Resolved</t>
        </is>
      </c>
      <c r="R161" s="44" t="inlineStr">
        <is>
          <t>Geisinger Facets_PPM_Lean_Ingestion_Run_Book.docx Premera BlueCross_PPM_Lean_Ingestion_Run_Book.docx</t>
        </is>
      </c>
      <c r="S161" s="43" t="inlineStr"/>
      <c r="T161" s="43" t="inlineStr"/>
      <c r="U161" s="43" t="inlineStr"/>
      <c r="V161" s="58" t="inlineStr">
        <is>
          <t>Other</t>
        </is>
      </c>
      <c r="W161" s="43" t="inlineStr">
        <is>
          <t>Yes</t>
        </is>
      </c>
    </row>
    <row r="162">
      <c r="A162" s="46" t="inlineStr">
        <is>
          <t>IT-2980134</t>
        </is>
      </c>
      <c r="B162" s="46" t="inlineStr">
        <is>
          <t>IT-2980134</t>
        </is>
      </c>
      <c r="C162" s="46" t="inlineStr"/>
      <c r="D162" s="47" t="inlineStr">
        <is>
          <t>Kaiser nw OLA Configuration Update</t>
        </is>
      </c>
      <c r="E162" s="47" t="inlineStr">
        <is>
          <t>Update Kaiser nw OLA Configuration setup in ProdOps to avoid unnecessary pipeline status in monitoring tab.</t>
        </is>
      </c>
      <c r="F162" s="47" t="inlineStr">
        <is>
          <t>Updated the OLA setup configuration in prodops. Need to wait for next execution for tomorrow. OLA setup not working as expected, Re configured the setup and will monitor for couple of days. OLA config updated and working as expected.</t>
        </is>
      </c>
      <c r="G162" s="47" t="inlineStr">
        <is>
          <t>OLA config updated and working as expected.</t>
        </is>
      </c>
      <c r="H162" s="46" t="inlineStr">
        <is>
          <t>Other</t>
        </is>
      </c>
      <c r="I162" s="46" t="inlineStr">
        <is>
          <t>Other</t>
        </is>
      </c>
      <c r="J162" s="46" t="inlineStr"/>
      <c r="K162" s="46" t="inlineStr">
        <is>
          <t>Closed</t>
        </is>
      </c>
      <c r="L162" s="46" t="inlineStr">
        <is>
          <t>2026-04-09</t>
        </is>
      </c>
      <c r="M162" s="46" t="inlineStr">
        <is>
          <t>2026-05-01</t>
        </is>
      </c>
      <c r="N162" s="46" t="inlineStr">
        <is>
          <t>Nile Production Support</t>
        </is>
      </c>
      <c r="O162" s="46" t="inlineStr">
        <is>
          <t>Unassigned</t>
        </is>
      </c>
      <c r="P162" s="46" t="inlineStr">
        <is>
          <t>Kamsetty, Sravani</t>
        </is>
      </c>
      <c r="Q162" s="46" t="inlineStr">
        <is>
          <t>Resolved</t>
        </is>
      </c>
      <c r="R162" s="47" t="inlineStr">
        <is>
          <t>Updated the OLA setup configuration in prodops. Need to wait for next execution for tomorrow. OLA setup not working as expected, Re configured the setup and will monitor for couple of days. OLA config updated and working as expected.</t>
        </is>
      </c>
      <c r="S162" s="46" t="inlineStr"/>
      <c r="T162" s="46" t="inlineStr"/>
      <c r="U162" s="46" t="inlineStr"/>
      <c r="V162" s="54" t="inlineStr">
        <is>
          <t>Configuration Issue</t>
        </is>
      </c>
      <c r="W162" s="46" t="inlineStr"/>
    </row>
    <row r="163">
      <c r="A163" s="43" t="inlineStr">
        <is>
          <t>IT-2979566</t>
        </is>
      </c>
      <c r="B163" s="43" t="inlineStr">
        <is>
          <t>IT-2979566</t>
        </is>
      </c>
      <c r="C163" s="43" t="inlineStr"/>
      <c r="D163" s="44" t="inlineStr">
        <is>
          <t>fwa-BCBSND-OSCAR_member_GDF2_3 Pipeline Got failed.</t>
        </is>
      </c>
      <c r="E163" s="44" t="inlineStr">
        <is>
          <t>fwa-BCBSND-OSCAR_member_GDF2_3 Pipeline Got failed due to Unmatched Raw Data count.</t>
        </is>
      </c>
      <c r="F163" s="44" t="inlineStr">
        <is>
          <t>Both ingestion dates 4/8 and 4/15 completed successfully.</t>
        </is>
      </c>
      <c r="G163" s="44" t="inlineStr">
        <is>
          <t>Both ingestion dates 4/8 and 4/15 completed successfully.</t>
        </is>
      </c>
      <c r="H163" s="43" t="inlineStr">
        <is>
          <t>Other</t>
        </is>
      </c>
      <c r="I163" s="43" t="inlineStr">
        <is>
          <t>Other</t>
        </is>
      </c>
      <c r="J163" s="43" t="inlineStr"/>
      <c r="K163" s="43" t="inlineStr">
        <is>
          <t>Closed</t>
        </is>
      </c>
      <c r="L163" s="43" t="inlineStr">
        <is>
          <t>2026-04-09</t>
        </is>
      </c>
      <c r="M163" s="43" t="inlineStr">
        <is>
          <t>2026-04-30</t>
        </is>
      </c>
      <c r="N163" s="43" t="inlineStr">
        <is>
          <t>Nile Production Support</t>
        </is>
      </c>
      <c r="O163" s="43" t="inlineStr">
        <is>
          <t>Unassigned</t>
        </is>
      </c>
      <c r="P163" s="43" t="inlineStr">
        <is>
          <t>Aryal, Neerajan</t>
        </is>
      </c>
      <c r="Q163" s="43" t="inlineStr">
        <is>
          <t>Resolved</t>
        </is>
      </c>
      <c r="R163" s="44" t="inlineStr">
        <is>
          <t>Both ingestion dates 4/8 and 4/15 completed successfully.</t>
        </is>
      </c>
      <c r="S163" s="43" t="inlineStr"/>
      <c r="T163" s="43" t="inlineStr"/>
      <c r="U163" s="43" t="inlineStr"/>
      <c r="V163" s="60" t="inlineStr">
        <is>
          <t>Unmatched raw data count</t>
        </is>
      </c>
      <c r="W163" s="43" t="inlineStr"/>
    </row>
    <row r="164">
      <c r="A164" s="46" t="inlineStr">
        <is>
          <t>IT-2979439</t>
        </is>
      </c>
      <c r="B164" s="46" t="inlineStr">
        <is>
          <t>IT-2979439</t>
        </is>
      </c>
      <c r="C164" s="46" t="inlineStr"/>
      <c r="D164" s="47" t="inlineStr">
        <is>
          <t>Cignamedicare files not spooled to nile</t>
        </is>
      </c>
      <c r="E164" s="47" t="inlineStr">
        <is>
          <t>Cignamedicare files not copied from axway to b2b and files are not spooling to nile.</t>
        </is>
      </c>
      <c r="F164" s="47" t="inlineStr">
        <is>
          <t>Client placed the files in wrong folder location in axway. Worked with mft team to copy the files to usual location. Files spooled and processed successfully. FYI: https://jiraet.cotiviti.com/plugins/servlet/desk/portal/7/IT-2977360</t>
        </is>
      </c>
      <c r="G164" s="47" t="inlineStr">
        <is>
          <t>Files spooled and processed successfully with the help of MFT team.</t>
        </is>
      </c>
      <c r="H164" s="46" t="inlineStr">
        <is>
          <t>Other</t>
        </is>
      </c>
      <c r="I164" s="46" t="inlineStr">
        <is>
          <t>Other</t>
        </is>
      </c>
      <c r="J164" s="46" t="inlineStr"/>
      <c r="K164" s="46" t="inlineStr">
        <is>
          <t>Closed</t>
        </is>
      </c>
      <c r="L164" s="46" t="inlineStr">
        <is>
          <t>2026-04-09</t>
        </is>
      </c>
      <c r="M164" s="46" t="inlineStr">
        <is>
          <t>2026-04-09</t>
        </is>
      </c>
      <c r="N164" s="46" t="inlineStr">
        <is>
          <t>Nile Production Support</t>
        </is>
      </c>
      <c r="O164" s="46" t="inlineStr">
        <is>
          <t>Unassigned</t>
        </is>
      </c>
      <c r="P164" s="46" t="inlineStr">
        <is>
          <t>Kamsetty, Sravani</t>
        </is>
      </c>
      <c r="Q164" s="46" t="inlineStr">
        <is>
          <t>Resolved</t>
        </is>
      </c>
      <c r="R164" s="47" t="inlineStr">
        <is>
          <t>Client placed the files in wrong folder location in axway. Worked with mft team to copy the files to usual location. Files spooled and processed successfully. FYI: https://jiraet.cotiviti.com/plugins/servlet/desk/portal/7/IT-2977360</t>
        </is>
      </c>
      <c r="S164" s="46" t="inlineStr"/>
      <c r="T164" s="46" t="inlineStr"/>
      <c r="U164" s="46" t="inlineStr"/>
      <c r="V164" s="61" t="inlineStr">
        <is>
          <t>Spooler issue</t>
        </is>
      </c>
      <c r="W164" s="46" t="inlineStr"/>
    </row>
    <row r="165">
      <c r="A165" s="43" t="inlineStr">
        <is>
          <t>IT-2979115</t>
        </is>
      </c>
      <c r="B165" s="43" t="inlineStr">
        <is>
          <t>IT-2979115</t>
        </is>
      </c>
      <c r="C165" s="43" t="inlineStr"/>
      <c r="D165" s="44" t="inlineStr">
        <is>
          <t>Pipeline failing with broadcast issue: dm-uhc-cirrus-actian_migration_entity_cir_cladeny</t>
        </is>
      </c>
      <c r="E165" s="44" t="inlineStr">
        <is>
          <t>Hi team, Please help resolving the broadcast issue for pipeline dm-uhc-cirrus-actian_migration_entity_cir_cladeny. Let me know how we can fix this in future. Thanks.</t>
        </is>
      </c>
      <c r="F165" s="44" t="inlineStr">
        <is>
          <t>added a spark config uration in a module so broadcast issus is no longer an issue</t>
        </is>
      </c>
      <c r="G165" s="44" t="inlineStr">
        <is>
          <t>inserted spark executor and pass the override. Solved the broadcast issues</t>
        </is>
      </c>
      <c r="H165" s="43" t="inlineStr">
        <is>
          <t>Other</t>
        </is>
      </c>
      <c r="I165" s="43" t="inlineStr">
        <is>
          <t>Other</t>
        </is>
      </c>
      <c r="J165" s="43" t="inlineStr"/>
      <c r="K165" s="43" t="inlineStr">
        <is>
          <t>Closed</t>
        </is>
      </c>
      <c r="L165" s="43" t="inlineStr">
        <is>
          <t>2026-04-08</t>
        </is>
      </c>
      <c r="M165" s="43" t="inlineStr">
        <is>
          <t>2026-04-12</t>
        </is>
      </c>
      <c r="N165" s="43" t="inlineStr">
        <is>
          <t>Nile Production Support</t>
        </is>
      </c>
      <c r="O165" s="43" t="inlineStr">
        <is>
          <t>Unassigned</t>
        </is>
      </c>
      <c r="P165" s="43" t="inlineStr">
        <is>
          <t>Kamsetty, Sravani</t>
        </is>
      </c>
      <c r="Q165" s="43" t="inlineStr">
        <is>
          <t>Done</t>
        </is>
      </c>
      <c r="R165" s="44" t="inlineStr">
        <is>
          <t>added a spark config uration in a module so broadcast issus is no longer an issue</t>
        </is>
      </c>
      <c r="S165" s="43" t="inlineStr"/>
      <c r="T165" s="43" t="inlineStr"/>
      <c r="U165" s="43" t="inlineStr"/>
      <c r="V165" s="49" t="inlineStr">
        <is>
          <t>Configuration Issue</t>
        </is>
      </c>
      <c r="W165" s="43" t="inlineStr"/>
    </row>
    <row r="166">
      <c r="A166" s="46" t="inlineStr">
        <is>
          <t>IT-2978929</t>
        </is>
      </c>
      <c r="B166" s="46" t="inlineStr">
        <is>
          <t>IT-2978929</t>
        </is>
      </c>
      <c r="C166" s="46" t="inlineStr"/>
      <c r="D166" s="47" t="inlineStr">
        <is>
          <t>Please spool ASO_CONTRACTS and EXTWEBW</t>
        </is>
      </c>
      <c r="E166" s="47" t="inlineStr">
        <is>
          <t>Hi Ravi or Din, We received replacements files for March 2026 today (date folder 20260408). We can spool everything but these two files: ASO_CONTRACTS EXTWEBW It seems the problem is that these two files have the same hash as the files that we received on 20260330. I compared the ASO_CONTRACTS between the one that we received on 20260330 and 20260408 and they’re perfect matched. That’s probably why. Chao really needs the pipelines going. Can you help with this spooler issue? After the spooler issue is resolved, we can have the Nepal team to run the pipeline. Thank you for your help melly</t>
        </is>
      </c>
      <c r="F166" s="47"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G166" s="47" t="inlineStr">
        <is>
          <t>I received closer confirmation from the user. closed this ticket.</t>
        </is>
      </c>
      <c r="H166" s="46" t="inlineStr">
        <is>
          <t>Other</t>
        </is>
      </c>
      <c r="I166" s="46" t="inlineStr">
        <is>
          <t>Other</t>
        </is>
      </c>
      <c r="J166" s="46" t="inlineStr"/>
      <c r="K166" s="46" t="inlineStr">
        <is>
          <t>Closed</t>
        </is>
      </c>
      <c r="L166" s="46" t="inlineStr">
        <is>
          <t>2026-04-08</t>
        </is>
      </c>
      <c r="M166" s="46" t="inlineStr">
        <is>
          <t>2026-04-14</t>
        </is>
      </c>
      <c r="N166" s="46" t="inlineStr">
        <is>
          <t>Nile Production Support</t>
        </is>
      </c>
      <c r="O166" s="46" t="inlineStr">
        <is>
          <t>Unassigned</t>
        </is>
      </c>
      <c r="P166" s="46" t="inlineStr">
        <is>
          <t>Suryani, Melly</t>
        </is>
      </c>
      <c r="Q166" s="46" t="inlineStr">
        <is>
          <t>Resolved</t>
        </is>
      </c>
      <c r="R166" s="47"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S166" s="46" t="inlineStr"/>
      <c r="T166" s="46" t="inlineStr"/>
      <c r="U166" s="46" t="inlineStr"/>
      <c r="V166" s="61" t="inlineStr">
        <is>
          <t>Spooler issue</t>
        </is>
      </c>
      <c r="W166" s="46" t="inlineStr"/>
    </row>
    <row r="167">
      <c r="A167" s="43" t="inlineStr">
        <is>
          <t>IT-2978844</t>
        </is>
      </c>
      <c r="B167" s="43" t="inlineStr">
        <is>
          <t>IT-2978844</t>
        </is>
      </c>
      <c r="C167" s="43" t="inlineStr"/>
      <c r="D167" s="44" t="inlineStr">
        <is>
          <t>Please ingest March files for Cignamedicare Facet DRG</t>
        </is>
      </c>
      <c r="E167" s="44" t="inlineStr">
        <is>
          <t>Hi Din, Would you please ingest the Cigna Medicare Facet DRG? They received them last night and spooled them today. Thanks so much! melly /Cigmc_DRG_Control20260331.txt /Cigmc_DRG_DiagnosisCodes20260331.txt /Cigmc_DRG_FacDet20260331.txt /Cigmc_DRG_FacHdr20260331.txt /Cigmc_DRG_Member20260331.txt /Cigmc_DRG_ProcedureCodes20260331.txt /Cigmc_DRG_Provider20260331.txt</t>
        </is>
      </c>
      <c r="F167" s="44" t="inlineStr">
        <is>
          <t>the files have been ingested but FaclHeader still does not have PAR_YN field</t>
        </is>
      </c>
      <c r="G167" s="44" t="inlineStr">
        <is>
          <t>ingestd and delivered files. Reversed FaclHeader as PAR_YN is still not being sent by client</t>
        </is>
      </c>
      <c r="H167" s="43" t="inlineStr">
        <is>
          <t>Other</t>
        </is>
      </c>
      <c r="I167" s="43" t="inlineStr">
        <is>
          <t>Other</t>
        </is>
      </c>
      <c r="J167" s="43" t="inlineStr"/>
      <c r="K167" s="43" t="inlineStr">
        <is>
          <t>Closed</t>
        </is>
      </c>
      <c r="L167" s="43" t="inlineStr">
        <is>
          <t>2026-04-08</t>
        </is>
      </c>
      <c r="M167" s="43" t="inlineStr">
        <is>
          <t>2026-04-12</t>
        </is>
      </c>
      <c r="N167" s="43" t="inlineStr">
        <is>
          <t>Nile Production Support</t>
        </is>
      </c>
      <c r="O167" s="43" t="inlineStr">
        <is>
          <t>Unassigned</t>
        </is>
      </c>
      <c r="P167" s="43" t="inlineStr">
        <is>
          <t>Suryani, Melly</t>
        </is>
      </c>
      <c r="Q167" s="43" t="inlineStr">
        <is>
          <t>Resolved</t>
        </is>
      </c>
      <c r="R167" s="44" t="inlineStr">
        <is>
          <t>the files have been ingested but FaclHeader still does not have PAR_YN field</t>
        </is>
      </c>
      <c r="S167" s="43" t="inlineStr"/>
      <c r="T167" s="43" t="inlineStr"/>
      <c r="U167" s="43" t="inlineStr"/>
      <c r="V167" s="45" t="inlineStr">
        <is>
          <t>Schema issue</t>
        </is>
      </c>
      <c r="W167" s="43" t="inlineStr"/>
    </row>
    <row r="168">
      <c r="A168" s="46" t="inlineStr">
        <is>
          <t>IT-2978615</t>
        </is>
      </c>
      <c r="B168" s="46" t="inlineStr">
        <is>
          <t>IT-2978615</t>
        </is>
      </c>
      <c r="C168" s="46" t="inlineStr"/>
      <c r="D168" s="47" t="inlineStr">
        <is>
          <t>ND Raw Data Request</t>
        </is>
      </c>
      <c r="E168" s="47" t="inlineStr">
        <is>
          <t>Please review the below to support client ask: For BCBS ND, we are trying to see if we can pull the raw for the below few claims/members to see if we are noticing anything unique or different in the raw files. We are unable to pull up the claims in the ND system, and the ND client is also unable to pull them up. So we wanted to see if there was something unique about these in the raw data. Referenced member contracts are at the following location: \\ccaintranet.com\dfs-fld-01\Audits\BCBS_ND\Audit\COB\ND Raw Data Request</t>
        </is>
      </c>
      <c r="F168" s="47" t="inlineStr"/>
      <c r="G168" s="47" t="inlineStr"/>
      <c r="H168" s="46" t="inlineStr">
        <is>
          <t>Other</t>
        </is>
      </c>
      <c r="I168" s="46" t="inlineStr">
        <is>
          <t>Other</t>
        </is>
      </c>
      <c r="J168" s="46" t="inlineStr"/>
      <c r="K168" s="46" t="inlineStr">
        <is>
          <t>In Progress (HD1)</t>
        </is>
      </c>
      <c r="L168" s="46" t="inlineStr">
        <is>
          <t>2026-04-08</t>
        </is>
      </c>
      <c r="M168" s="46" t="inlineStr">
        <is>
          <t>2026-04-09</t>
        </is>
      </c>
      <c r="N168" s="46" t="inlineStr">
        <is>
          <t>Nile Production Support</t>
        </is>
      </c>
      <c r="O168" s="46" t="inlineStr">
        <is>
          <t>Unassigned</t>
        </is>
      </c>
      <c r="P168" s="46" t="inlineStr">
        <is>
          <t>Sadler, Melissa</t>
        </is>
      </c>
      <c r="Q168" s="46" t="inlineStr">
        <is>
          <t>Unresolved</t>
        </is>
      </c>
      <c r="R168" s="47" t="inlineStr"/>
      <c r="S168" s="46" t="inlineStr"/>
      <c r="T168" s="46" t="inlineStr"/>
      <c r="U168" s="46" t="inlineStr"/>
      <c r="V168" s="55" t="inlineStr">
        <is>
          <t>Data Issue</t>
        </is>
      </c>
      <c r="W168" s="46" t="inlineStr"/>
    </row>
    <row r="169">
      <c r="A169" s="43" t="inlineStr">
        <is>
          <t>IT-2978418</t>
        </is>
      </c>
      <c r="B169" s="43" t="inlineStr">
        <is>
          <t>IT-2978418</t>
        </is>
      </c>
      <c r="C169" s="43" t="inlineStr"/>
      <c r="D169" s="44" t="inlineStr">
        <is>
          <t>Triple S TRICM history test files resent</t>
        </is>
      </c>
      <c r="E169" s="44" t="inlineStr">
        <is>
          <t>Client sent files this morning which failed due to sequence number. They have resent with different sequence. Please put back through Nile so I can have Production control run them after. tricm_test_ophistory_incoming_1 tricm_test_history_incoming_1 thank you!</t>
        </is>
      </c>
      <c r="F169" s="44" t="inlineStr"/>
      <c r="G169" s="44" t="inlineStr">
        <is>
          <t>Processed the test files</t>
        </is>
      </c>
      <c r="H169" s="43" t="inlineStr">
        <is>
          <t>Other</t>
        </is>
      </c>
      <c r="I169" s="43" t="inlineStr">
        <is>
          <t>Other</t>
        </is>
      </c>
      <c r="J169" s="43" t="inlineStr"/>
      <c r="K169" s="43" t="inlineStr">
        <is>
          <t>Closed</t>
        </is>
      </c>
      <c r="L169" s="43" t="inlineStr">
        <is>
          <t>2026-04-08</t>
        </is>
      </c>
      <c r="M169" s="43" t="inlineStr">
        <is>
          <t>2026-04-08</t>
        </is>
      </c>
      <c r="N169" s="43" t="inlineStr">
        <is>
          <t>Nile Production Support</t>
        </is>
      </c>
      <c r="O169" s="43" t="inlineStr">
        <is>
          <t>Unassigned</t>
        </is>
      </c>
      <c r="P169" s="43" t="inlineStr">
        <is>
          <t>Mascari, Sara</t>
        </is>
      </c>
      <c r="Q169" s="43" t="inlineStr">
        <is>
          <t>Resolved</t>
        </is>
      </c>
      <c r="R169" s="44" t="inlineStr"/>
      <c r="S169" s="43" t="inlineStr"/>
      <c r="T169" s="43" t="inlineStr"/>
      <c r="U169" s="43" t="inlineStr"/>
      <c r="V169" s="53" t="inlineStr">
        <is>
          <t>File Issue</t>
        </is>
      </c>
      <c r="W169" s="43" t="inlineStr"/>
    </row>
    <row r="170">
      <c r="A170" s="46" t="inlineStr">
        <is>
          <t>IT-2978338</t>
        </is>
      </c>
      <c r="B170" s="46" t="inlineStr">
        <is>
          <t>IT-2978338</t>
        </is>
      </c>
      <c r="C170" s="46" t="inlineStr"/>
      <c r="D170" s="47" t="inlineStr">
        <is>
          <t>Please update these spoolers with new quarterly Centene password</t>
        </is>
      </c>
      <c r="E170" s="47" t="inlineStr">
        <is>
          <t>Hi Din, Would you mind updating these spoolers with the new password? Spoolers: centene-centene-claims-provider-actian-test centene-centene-mbr-actian_sftp centene-healthnet-claims-provider-actian_sftp centene-healthnet-mbr-actian_sftp fideliscare-centene_Actian_CNC_VENDOR_CLAIM_PHARMACY_sftp Fideliscare-Centene-Workaround Wellcare-Wellcare_Actian_claim_hdr_dtl_sub_ven_prov_sftp Wellcare-Wellcare_Actian_PBM_MTH_notouch_sftp Wellcare-Wellcare_Actian_PBM_WKY_sftp Wellcare-Wellcare_GenericDB_sftp Thank you so much for your help melly</t>
        </is>
      </c>
      <c r="F170" s="47" t="inlineStr">
        <is>
          <t>all spoolers updated and connection validated</t>
        </is>
      </c>
      <c r="G170" s="47" t="inlineStr">
        <is>
          <t>all spoolers using sftp.centene.com have been tested. These spoolers are meant to be used to temporarily replace the ones created to access T2</t>
        </is>
      </c>
      <c r="H170" s="46" t="inlineStr">
        <is>
          <t>Other</t>
        </is>
      </c>
      <c r="I170" s="46" t="inlineStr">
        <is>
          <t>Other</t>
        </is>
      </c>
      <c r="J170" s="46" t="inlineStr"/>
      <c r="K170" s="46" t="inlineStr">
        <is>
          <t>Closed</t>
        </is>
      </c>
      <c r="L170" s="46" t="inlineStr">
        <is>
          <t>2026-04-08</t>
        </is>
      </c>
      <c r="M170" s="46" t="inlineStr">
        <is>
          <t>2026-04-11</t>
        </is>
      </c>
      <c r="N170" s="46" t="inlineStr">
        <is>
          <t>Nile Production Support</t>
        </is>
      </c>
      <c r="O170" s="46" t="inlineStr">
        <is>
          <t>Unassigned</t>
        </is>
      </c>
      <c r="P170" s="46" t="inlineStr">
        <is>
          <t>Suryani, Melly</t>
        </is>
      </c>
      <c r="Q170" s="46" t="inlineStr">
        <is>
          <t>Resolved</t>
        </is>
      </c>
      <c r="R170" s="47" t="inlineStr">
        <is>
          <t>all spoolers updated and connection validated</t>
        </is>
      </c>
      <c r="S170" s="46" t="inlineStr"/>
      <c r="T170" s="46" t="inlineStr"/>
      <c r="U170" s="46" t="inlineStr"/>
      <c r="V170" s="61" t="inlineStr">
        <is>
          <t>Spooler issue</t>
        </is>
      </c>
      <c r="W170" s="46" t="inlineStr"/>
    </row>
    <row r="171">
      <c r="A171" s="43" t="inlineStr">
        <is>
          <t>IT-2977978</t>
        </is>
      </c>
      <c r="B171" s="43" t="inlineStr">
        <is>
          <t>IT-2977978</t>
        </is>
      </c>
      <c r="C171" s="43" t="inlineStr"/>
      <c r="D171" s="44" t="inlineStr">
        <is>
          <t>Unmated Calims_ICD10 Count | Pipeline: dm-fideliscare-centene-passthrough_Claims_ICD10 | Data Date: 2026/04/05 | Zero Ingested Row Count</t>
        </is>
      </c>
      <c r="E171" s="44" t="inlineStr">
        <is>
          <t>Email Ref: Unmatched claims_icd10 raw data count - 20260405_1 - prod - dm-fideliscare-centene-passthrough_Claims_ICD10 Pipeline Name : dm-fideliscare-centene-passthrough_Claims_ICD10, Version: V1 , Data Date: 2026/04/05 File Name : FID_VENDOR_CLAIM_MEDICAL_20260328_20260404.txt Rejected records Impala table : prod_niledataingestion_unrestricted.fideliscare_centene_raw_claims_icd10_rejected_records_20260405_1 File data line count: 4310623 Total raw data line count : 4310623 Rejected records Impala table : prod_niledataingestion_unrestricted.fideliscare_centene_raw_claims_icd10_rejected_records_20260405_1 Ingested row count : 0</t>
        </is>
      </c>
      <c r="F171" s="44"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G171" s="44" t="inlineStr">
        <is>
          <t>all rows ingested after we accommodated the extra field that the client sent</t>
        </is>
      </c>
      <c r="H171" s="43" t="inlineStr">
        <is>
          <t>Other</t>
        </is>
      </c>
      <c r="I171" s="43" t="inlineStr">
        <is>
          <t>Other</t>
        </is>
      </c>
      <c r="J171" s="43" t="inlineStr"/>
      <c r="K171" s="43" t="inlineStr">
        <is>
          <t>Closed</t>
        </is>
      </c>
      <c r="L171" s="43" t="inlineStr">
        <is>
          <t>2026-04-08</t>
        </is>
      </c>
      <c r="M171" s="43" t="inlineStr">
        <is>
          <t>2026-04-11</t>
        </is>
      </c>
      <c r="N171" s="43" t="inlineStr">
        <is>
          <t>Nile Production Support</t>
        </is>
      </c>
      <c r="O171" s="43" t="inlineStr">
        <is>
          <t>Unassigned</t>
        </is>
      </c>
      <c r="P171" s="43" t="inlineStr">
        <is>
          <t>Enid Ike</t>
        </is>
      </c>
      <c r="Q171" s="43" t="inlineStr">
        <is>
          <t>Resolved</t>
        </is>
      </c>
      <c r="R171" s="44"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S171" s="43" t="inlineStr"/>
      <c r="T171" s="43" t="inlineStr"/>
      <c r="U171" s="43" t="inlineStr"/>
      <c r="V171" s="49" t="inlineStr">
        <is>
          <t>Configuration Issue</t>
        </is>
      </c>
      <c r="W171" s="43" t="inlineStr"/>
    </row>
    <row r="172">
      <c r="A172" s="46" t="inlineStr">
        <is>
          <t>IT-2977604</t>
        </is>
      </c>
      <c r="B172" s="46" t="inlineStr">
        <is>
          <t>IT-2977604</t>
        </is>
      </c>
      <c r="C172" s="46" t="inlineStr"/>
      <c r="D172" s="47" t="inlineStr">
        <is>
          <t>HCSC member customer accountnum issue</t>
        </is>
      </c>
      <c r="E172" s="47" t="inlineStr">
        <is>
          <t>+underlined text+Hello Nile team Operations and NW team found the accountnum for member custom data have an extra leading 0 for 20260228’s file loading,\ according to the findings saved in the excel below, the same accountnum from 202601 does not have the extra leading 0 this issue is causing failing in GWF indicator , \\ccaintranet.com\dfs-fld-01\Audits\HCSC\COB\Auditors\Dom\HCSC_COB_SubscriberData_RCASA-78240.xlsx\ Would you please help check if there are any recent change on this hcsc member custom loading pipeline? pipeline name is : dm-hcsc-hcsc-actian_migration_customer</t>
        </is>
      </c>
      <c r="F172" s="47"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G172" s="47" t="inlineStr"/>
      <c r="H172" s="46" t="inlineStr">
        <is>
          <t>Other</t>
        </is>
      </c>
      <c r="I172" s="46" t="inlineStr">
        <is>
          <t>Other</t>
        </is>
      </c>
      <c r="J172" s="46" t="inlineStr"/>
      <c r="K172" s="46" t="inlineStr">
        <is>
          <t>On Hold</t>
        </is>
      </c>
      <c r="L172" s="46" t="inlineStr">
        <is>
          <t>2026-04-08</t>
        </is>
      </c>
      <c r="M172" s="46" t="inlineStr">
        <is>
          <t>2026-05-05</t>
        </is>
      </c>
      <c r="N172" s="46" t="inlineStr">
        <is>
          <t>Nile Production Support</t>
        </is>
      </c>
      <c r="O172" s="46" t="inlineStr">
        <is>
          <t>Unassigned</t>
        </is>
      </c>
      <c r="P172" s="46" t="inlineStr">
        <is>
          <t>Tang, Chao</t>
        </is>
      </c>
      <c r="Q172" s="46" t="inlineStr">
        <is>
          <t>Unresolved</t>
        </is>
      </c>
      <c r="R172" s="47"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S172" s="46" t="inlineStr"/>
      <c r="T172" s="46" t="inlineStr"/>
      <c r="U172" s="46" t="inlineStr"/>
      <c r="V172" s="55" t="inlineStr">
        <is>
          <t>Data Issue</t>
        </is>
      </c>
      <c r="W172" s="46" t="inlineStr"/>
    </row>
    <row r="173">
      <c r="A173" s="43" t="inlineStr">
        <is>
          <t>IT-2976563</t>
        </is>
      </c>
      <c r="B173" s="43" t="inlineStr">
        <is>
          <t>IT-2976563</t>
        </is>
      </c>
      <c r="C173" s="43" t="inlineStr"/>
      <c r="D173" s="44" t="inlineStr">
        <is>
          <t>Pipeline got stucked in DB Writer Stage.</t>
        </is>
      </c>
      <c r="E173" s="44" t="inlineStr">
        <is>
          <t>Pipeline got stucked in DB Writer Stage. Pipeline ID: 2024-02-26-63496249 2024-03-01-10893538 2024-03-01-13379566 2024-03-01-18139436 2024-02-28-126517636 2024-04-01-18237500 2024-03-01-14034327 2024-03-01-15357664 1 Failed Pipeline expect DB Writer Stage: 2024-03-01-14923324</t>
        </is>
      </c>
      <c r="F173" s="44"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G173" s="44" t="inlineStr">
        <is>
          <t>Pipeline issue fixed and closing the ticket.</t>
        </is>
      </c>
      <c r="H173" s="43" t="inlineStr">
        <is>
          <t>Other</t>
        </is>
      </c>
      <c r="I173" s="43" t="inlineStr">
        <is>
          <t>Other</t>
        </is>
      </c>
      <c r="J173" s="43" t="inlineStr"/>
      <c r="K173" s="43" t="inlineStr">
        <is>
          <t>Closed</t>
        </is>
      </c>
      <c r="L173" s="43" t="inlineStr">
        <is>
          <t>2026-04-07</t>
        </is>
      </c>
      <c r="M173" s="43" t="inlineStr">
        <is>
          <t>2026-04-15</t>
        </is>
      </c>
      <c r="N173" s="43" t="inlineStr">
        <is>
          <t>Nile Production Support</t>
        </is>
      </c>
      <c r="O173" s="43" t="inlineStr">
        <is>
          <t>Unassigned</t>
        </is>
      </c>
      <c r="P173" s="43" t="inlineStr">
        <is>
          <t>Aryal, Neerajan</t>
        </is>
      </c>
      <c r="Q173" s="43" t="inlineStr">
        <is>
          <t>Resolved</t>
        </is>
      </c>
      <c r="R173" s="44"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S173" s="43" t="inlineStr"/>
      <c r="T173" s="43" t="inlineStr"/>
      <c r="U173" s="43" t="inlineStr"/>
      <c r="V173" s="66" t="inlineStr">
        <is>
          <t>DB Issue</t>
        </is>
      </c>
      <c r="W173" s="43" t="inlineStr"/>
    </row>
    <row r="174">
      <c r="A174" s="46" t="inlineStr">
        <is>
          <t>IT-2976170</t>
        </is>
      </c>
      <c r="B174" s="46" t="inlineStr">
        <is>
          <t>IT-2976170</t>
        </is>
      </c>
      <c r="C174" s="46" t="inlineStr"/>
      <c r="D174" s="47" t="inlineStr">
        <is>
          <t>Please check the Geisinger Facet pipeline, as it is failing with a missing file error.</t>
        </is>
      </c>
      <c r="E174" s="47" t="inlineStr">
        <is>
          <t>Hey Triage Team We have already received the Monthly Geisinger Facet file, and it has been spooled. However, the pipeline is throwing an error indicating that no files are available. Pipeline Name: rccv-geisinger-facets-history_institutional_claims_processed_GDF2_3_CDF2_3</t>
        </is>
      </c>
      <c r="F174" s="47" t="inlineStr">
        <is>
          <t>Hi Kabeya, Joel All weekly files are arrived, so added override parameter. pipeline is running now Thanks Satish Devatha Pipeline completed</t>
        </is>
      </c>
      <c r="G174" s="47" t="inlineStr">
        <is>
          <t>Pipeline completed</t>
        </is>
      </c>
      <c r="H174" s="46" t="inlineStr">
        <is>
          <t>Other</t>
        </is>
      </c>
      <c r="I174" s="46" t="inlineStr">
        <is>
          <t>Other</t>
        </is>
      </c>
      <c r="J174" s="46" t="inlineStr"/>
      <c r="K174" s="46" t="inlineStr">
        <is>
          <t>Closed</t>
        </is>
      </c>
      <c r="L174" s="46" t="inlineStr">
        <is>
          <t>2026-04-07</t>
        </is>
      </c>
      <c r="M174" s="46" t="inlineStr">
        <is>
          <t>2026-04-08</t>
        </is>
      </c>
      <c r="N174" s="46" t="inlineStr">
        <is>
          <t>Nile Production Support</t>
        </is>
      </c>
      <c r="O174" s="46" t="inlineStr">
        <is>
          <t>Unassigned</t>
        </is>
      </c>
      <c r="P174" s="46" t="inlineStr">
        <is>
          <t>Kabeya, Joel</t>
        </is>
      </c>
      <c r="Q174" s="46" t="inlineStr">
        <is>
          <t>Resolved</t>
        </is>
      </c>
      <c r="R174" s="47" t="inlineStr">
        <is>
          <t>Hi Kabeya, Joel All weekly files are arrived, so added override parameter. pipeline is running now Thanks Satish Devatha Pipeline completed</t>
        </is>
      </c>
      <c r="S174" s="46" t="inlineStr"/>
      <c r="T174" s="46" t="inlineStr"/>
      <c r="U174" s="46" t="inlineStr"/>
      <c r="V174" s="54" t="inlineStr">
        <is>
          <t>Configuration Issue</t>
        </is>
      </c>
      <c r="W174" s="46" t="inlineStr"/>
    </row>
    <row r="175">
      <c r="A175" s="43" t="inlineStr">
        <is>
          <t>IT-2976054</t>
        </is>
      </c>
      <c r="B175" s="43" t="inlineStr">
        <is>
          <t>IT-2976054</t>
        </is>
      </c>
      <c r="C175" s="43" t="inlineStr"/>
      <c r="D175" s="44" t="inlineStr">
        <is>
          <t>Wellpoint file load</t>
        </is>
      </c>
      <c r="E175" s="44" t="inlineStr">
        <is>
          <t>hello nile team we have received the replacement file for the “20260402.CNLY.f.10.fee_sch.clmrpt.zip”. could you please reload the files.</t>
        </is>
      </c>
      <c r="F175" s="44" t="inlineStr">
        <is>
          <t>Hi KC, Sanjeeb Reran pipeline now with new file(after adding override for Metric Drop) Thanks Satish Devatha Hi KC, Sanjeeb pipeline completed Thanks Satish Devatha</t>
        </is>
      </c>
      <c r="G175" s="44" t="inlineStr">
        <is>
          <t>Pipeline completed</t>
        </is>
      </c>
      <c r="H175" s="43" t="inlineStr">
        <is>
          <t>Other</t>
        </is>
      </c>
      <c r="I175" s="43" t="inlineStr">
        <is>
          <t>Other</t>
        </is>
      </c>
      <c r="J175" s="43" t="inlineStr"/>
      <c r="K175" s="43" t="inlineStr">
        <is>
          <t>Closed</t>
        </is>
      </c>
      <c r="L175" s="43" t="inlineStr">
        <is>
          <t>2026-04-07</t>
        </is>
      </c>
      <c r="M175" s="43" t="inlineStr">
        <is>
          <t>2026-04-08</t>
        </is>
      </c>
      <c r="N175" s="43" t="inlineStr">
        <is>
          <t>Nile Production Support</t>
        </is>
      </c>
      <c r="O175" s="43" t="inlineStr">
        <is>
          <t>Unassigned</t>
        </is>
      </c>
      <c r="P175" s="43" t="inlineStr">
        <is>
          <t>KC, Sanjeeb</t>
        </is>
      </c>
      <c r="Q175" s="43" t="inlineStr">
        <is>
          <t>Resolved</t>
        </is>
      </c>
      <c r="R175" s="44" t="inlineStr">
        <is>
          <t>Hi KC, Sanjeeb Reran pipeline now with new file(after adding override for Metric Drop) Thanks Satish Devatha Hi KC, Sanjeeb pipeline completed Thanks Satish Devatha</t>
        </is>
      </c>
      <c r="S175" s="43" t="inlineStr"/>
      <c r="T175" s="43" t="inlineStr"/>
      <c r="U175" s="43" t="inlineStr"/>
      <c r="V175" s="65" t="inlineStr">
        <is>
          <t>Metric drop</t>
        </is>
      </c>
      <c r="W175" s="43" t="inlineStr"/>
    </row>
    <row r="176">
      <c r="A176" s="46" t="inlineStr">
        <is>
          <t>IT-2975793</t>
        </is>
      </c>
      <c r="B176" s="46" t="inlineStr">
        <is>
          <t>IT-2975793</t>
        </is>
      </c>
      <c r="C176" s="46" t="inlineStr"/>
      <c r="D176" s="47" t="inlineStr">
        <is>
          <t>HAIEP - Daily file missing - 04/06/2026 and 04/07/2026</t>
        </is>
      </c>
      <c r="E176" s="47" t="inlineStr">
        <is>
          <t>Hi Nile Team, We are missing the below daily file for 04/07/2026. Please check and let us know when we can expect the missing file. haiep_daily_incoming*</t>
        </is>
      </c>
      <c r="F176" s="47" t="inlineStr">
        <is>
          <t>Per the CSM, this client has terminated this process and the last file sent was 4/3. Nile is not expecting any files going forward and therefore PC will not be sent this file. RE: DAILY: Missing File: HAMP TBA professional File not received (20260404)</t>
        </is>
      </c>
      <c r="G176" s="47" t="inlineStr">
        <is>
          <t>Per the CSM, this client has terminated this process and the last file sent was 4/3. Nile is not expecting any files going forward and therefore PC will not be sent this file. RE: DAILY: Missing File: HAMP TBA professional File not received (20260404)</t>
        </is>
      </c>
      <c r="H176" s="46" t="inlineStr"/>
      <c r="I176" s="46" t="inlineStr"/>
      <c r="J176" s="46" t="inlineStr"/>
      <c r="K176" s="46" t="inlineStr">
        <is>
          <t>Closed</t>
        </is>
      </c>
      <c r="L176" s="46" t="inlineStr">
        <is>
          <t>2026-04-07</t>
        </is>
      </c>
      <c r="M176" s="46" t="inlineStr">
        <is>
          <t>2026-04-08</t>
        </is>
      </c>
      <c r="N176" s="46" t="inlineStr">
        <is>
          <t>Nile Production Support</t>
        </is>
      </c>
      <c r="O176" s="46" t="inlineStr">
        <is>
          <t>Unassigned</t>
        </is>
      </c>
      <c r="P176" s="46" t="inlineStr">
        <is>
          <t>Shinde, Vijaykumar</t>
        </is>
      </c>
      <c r="Q176" s="46" t="inlineStr">
        <is>
          <t>Closed</t>
        </is>
      </c>
      <c r="R176" s="47" t="inlineStr">
        <is>
          <t>Per the CSM, this client has terminated this process and the last file sent was 4/3. Nile is not expecting any files going forward and therefore PC will not be sent this file. RE: DAILY: Missing File: HAMP TBA professional File not received (20260404)</t>
        </is>
      </c>
      <c r="S176" s="46" t="inlineStr"/>
      <c r="T176" s="46" t="inlineStr"/>
      <c r="U176" s="46" t="inlineStr"/>
      <c r="V176" s="48" t="inlineStr">
        <is>
          <t>File Missing</t>
        </is>
      </c>
      <c r="W176" s="46" t="inlineStr"/>
    </row>
    <row r="177">
      <c r="A177" s="43" t="inlineStr">
        <is>
          <t>IT-2975651</t>
        </is>
      </c>
      <c r="B177" s="43" t="inlineStr">
        <is>
          <t>IT-2975651</t>
        </is>
      </c>
      <c r="C177" s="43" t="inlineStr"/>
      <c r="D177" s="44" t="inlineStr">
        <is>
          <t>Amerihealth-result: Pipeline Failures with Claim_Detials &amp; Member | Data Date: 2026/04/07</t>
        </is>
      </c>
      <c r="E177" s="44" t="inlineStr">
        <is>
          <t>Pipeline: dm-amerihealth-results-actian_migration_claims_detail , Version: V1.2 , Data Date: 2026/04/07 Error Message : The file extraction process has failed due to possible file corruption or an invalid compression format, Hence unable to unarchive the file using existing methods. : DCClaimsRecovery.04062026.zip Pipeline: dm-amerihealth-results-actian_migration_member , Version: V1.3 , Data Date: 2026/04/07 __ Error Message : The file extraction process has failed due to possible file corruption or an invalid compression format, Hence unable to unarchive the file using existing methods. : DCClaimsRecovery.04062026.zip</t>
        </is>
      </c>
      <c r="F177" s="44"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G177" s="44" t="inlineStr">
        <is>
          <t>Both pipelines are completed</t>
        </is>
      </c>
      <c r="H177" s="43" t="inlineStr">
        <is>
          <t>Other</t>
        </is>
      </c>
      <c r="I177" s="43" t="inlineStr">
        <is>
          <t>Other</t>
        </is>
      </c>
      <c r="J177" s="43" t="inlineStr"/>
      <c r="K177" s="43" t="inlineStr">
        <is>
          <t>Closed</t>
        </is>
      </c>
      <c r="L177" s="43" t="inlineStr">
        <is>
          <t>2026-04-07</t>
        </is>
      </c>
      <c r="M177" s="43" t="inlineStr">
        <is>
          <t>2026-04-07</t>
        </is>
      </c>
      <c r="N177" s="43" t="inlineStr">
        <is>
          <t>Nile Production Support</t>
        </is>
      </c>
      <c r="O177" s="43" t="inlineStr">
        <is>
          <t>Unassigned</t>
        </is>
      </c>
      <c r="P177" s="43" t="inlineStr">
        <is>
          <t>Enid Ike</t>
        </is>
      </c>
      <c r="Q177" s="43" t="inlineStr">
        <is>
          <t>Resolved</t>
        </is>
      </c>
      <c r="R177" s="44"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S177" s="43" t="inlineStr"/>
      <c r="T177" s="43" t="inlineStr"/>
      <c r="U177" s="43" t="inlineStr"/>
      <c r="V177" s="62" t="inlineStr">
        <is>
          <t>Pipeline Schedule</t>
        </is>
      </c>
      <c r="W177" s="43" t="inlineStr"/>
    </row>
    <row r="178">
      <c r="A178" s="46" t="inlineStr">
        <is>
          <t>IT-2975485</t>
        </is>
      </c>
      <c r="B178" s="46" t="inlineStr">
        <is>
          <t>IT-2975485</t>
        </is>
      </c>
      <c r="C178" s="46" t="inlineStr"/>
      <c r="D178" s="47" t="inlineStr">
        <is>
          <t>Please spool down Hew_Members.20261307091356.txt.pgp --need by 4/7/2026</t>
        </is>
      </c>
      <c r="E178" s="47" t="inlineStr">
        <is>
          <t>Please spool down Hew_Members.20261307091356.txt.pgp</t>
        </is>
      </c>
      <c r="F178" s="47" t="inlineStr">
        <is>
          <t>Hi Nekkanti, Alekya File processed by Nile please verify</t>
        </is>
      </c>
      <c r="G178" s="47" t="inlineStr">
        <is>
          <t>File processed</t>
        </is>
      </c>
      <c r="H178" s="46" t="inlineStr">
        <is>
          <t>Other</t>
        </is>
      </c>
      <c r="I178" s="46" t="inlineStr">
        <is>
          <t>Other</t>
        </is>
      </c>
      <c r="J178" s="46" t="inlineStr"/>
      <c r="K178" s="46" t="inlineStr">
        <is>
          <t>Closed</t>
        </is>
      </c>
      <c r="L178" s="46" t="inlineStr">
        <is>
          <t>2026-04-07</t>
        </is>
      </c>
      <c r="M178" s="46" t="inlineStr">
        <is>
          <t>2026-04-07</t>
        </is>
      </c>
      <c r="N178" s="46" t="inlineStr">
        <is>
          <t>Nile Production Support</t>
        </is>
      </c>
      <c r="O178" s="46" t="inlineStr">
        <is>
          <t>Unassigned</t>
        </is>
      </c>
      <c r="P178" s="46" t="inlineStr">
        <is>
          <t>Nekkanti, Alekya</t>
        </is>
      </c>
      <c r="Q178" s="46" t="inlineStr">
        <is>
          <t>Resolved</t>
        </is>
      </c>
      <c r="R178" s="47" t="inlineStr">
        <is>
          <t>Hi Nekkanti, Alekya File processed by Nile please verify</t>
        </is>
      </c>
      <c r="S178" s="46" t="inlineStr"/>
      <c r="T178" s="46" t="inlineStr"/>
      <c r="U178" s="46" t="inlineStr"/>
      <c r="V178" s="61" t="inlineStr">
        <is>
          <t>Spooler issue</t>
        </is>
      </c>
      <c r="W178" s="46" t="inlineStr"/>
    </row>
    <row r="179">
      <c r="A179" s="43" t="inlineStr">
        <is>
          <t>IT-2975470</t>
        </is>
      </c>
      <c r="B179" s="43" t="inlineStr">
        <is>
          <t>IT-2975470</t>
        </is>
      </c>
      <c r="C179" s="43" t="inlineStr"/>
      <c r="D179" s="44" t="inlineStr">
        <is>
          <t>Add new payer to fact line job</t>
        </is>
      </c>
      <c r="E179" s="44" t="inlineStr">
        <is>
          <t>Add new payer to fact line job. T_PAYER_CODE|US_ONLY_10|yyyymmddhh|RECORDS AMHL3|0|2026040609|6</t>
        </is>
      </c>
      <c r="F179" s="44" t="inlineStr">
        <is>
          <t>new payer added. closing this ticket.</t>
        </is>
      </c>
      <c r="G179" s="44" t="inlineStr">
        <is>
          <t>payer added</t>
        </is>
      </c>
      <c r="H179" s="43" t="inlineStr">
        <is>
          <t>Other</t>
        </is>
      </c>
      <c r="I179" s="43" t="inlineStr">
        <is>
          <t>Other</t>
        </is>
      </c>
      <c r="J179" s="43" t="inlineStr"/>
      <c r="K179" s="43" t="inlineStr">
        <is>
          <t>Closed</t>
        </is>
      </c>
      <c r="L179" s="43" t="inlineStr">
        <is>
          <t>2026-04-07</t>
        </is>
      </c>
      <c r="M179" s="43" t="inlineStr">
        <is>
          <t>2026-04-07</t>
        </is>
      </c>
      <c r="N179" s="43" t="inlineStr">
        <is>
          <t>Nile Production Support</t>
        </is>
      </c>
      <c r="O179" s="43" t="inlineStr">
        <is>
          <t>Unassigned</t>
        </is>
      </c>
      <c r="P179" s="43" t="inlineStr">
        <is>
          <t>Birney, Kevin</t>
        </is>
      </c>
      <c r="Q179" s="43" t="inlineStr">
        <is>
          <t>Resolved</t>
        </is>
      </c>
      <c r="R179" s="44" t="inlineStr">
        <is>
          <t>new payer added. closing this ticket.</t>
        </is>
      </c>
      <c r="S179" s="43" t="inlineStr"/>
      <c r="T179" s="43" t="inlineStr"/>
      <c r="U179" s="43" t="inlineStr"/>
      <c r="V179" s="49" t="inlineStr">
        <is>
          <t>Configuration Issue</t>
        </is>
      </c>
      <c r="W179" s="43" t="inlineStr"/>
    </row>
    <row r="180">
      <c r="A180" s="46" t="inlineStr">
        <is>
          <t>IT-2975020</t>
        </is>
      </c>
      <c r="B180" s="46" t="inlineStr">
        <is>
          <t>IT-2975020</t>
        </is>
      </c>
      <c r="C180" s="46" t="inlineStr"/>
      <c r="D180" s="47" t="inlineStr">
        <is>
          <t>Weekly Pipeline rccv-optumcare-facets-TIN_exclusion_file is getting failed for 2026/03/09</t>
        </is>
      </c>
      <c r="E180" s="47" t="inlineStr">
        <is>
          <t>Above pipeline is getting failed in ConvertExcelToCsv [convert-exceltocsv] stage . Please check and suggest the action required.</t>
        </is>
      </c>
      <c r="F180" s="47"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G180" s="47" t="inlineStr">
        <is>
          <t>created a new pipeline version to accommodate file changing its tab names from List* to Sheet* Also skipped problematic 03/09 file Also chnaged the pipeline cadence from weekly to daily</t>
        </is>
      </c>
      <c r="H180" s="46" t="inlineStr">
        <is>
          <t>Other</t>
        </is>
      </c>
      <c r="I180" s="46" t="inlineStr">
        <is>
          <t>Other</t>
        </is>
      </c>
      <c r="J180" s="46" t="inlineStr"/>
      <c r="K180" s="46" t="inlineStr">
        <is>
          <t>Closed</t>
        </is>
      </c>
      <c r="L180" s="46" t="inlineStr">
        <is>
          <t>2026-04-07</t>
        </is>
      </c>
      <c r="M180" s="46" t="inlineStr">
        <is>
          <t>2026-05-05</t>
        </is>
      </c>
      <c r="N180" s="46" t="inlineStr">
        <is>
          <t>Nile Production Support</t>
        </is>
      </c>
      <c r="O180" s="46" t="inlineStr">
        <is>
          <t>Unassigned</t>
        </is>
      </c>
      <c r="P180" s="46" t="inlineStr">
        <is>
          <t>Kandel, Amik</t>
        </is>
      </c>
      <c r="Q180" s="46" t="inlineStr">
        <is>
          <t>Resolved</t>
        </is>
      </c>
      <c r="R180" s="47"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S180" s="46" t="inlineStr"/>
      <c r="T180" s="46" t="inlineStr"/>
      <c r="U180" s="46" t="inlineStr"/>
      <c r="V180" s="52" t="inlineStr">
        <is>
          <t>Pipeline Schedule</t>
        </is>
      </c>
      <c r="W180" s="46" t="inlineStr"/>
    </row>
    <row r="181">
      <c r="A181" s="43" t="inlineStr">
        <is>
          <t>IT-2974977</t>
        </is>
      </c>
      <c r="B181" s="43" t="inlineStr">
        <is>
          <t>IT-2974977</t>
        </is>
      </c>
      <c r="C181" s="43" t="inlineStr"/>
      <c r="D181" s="44" t="inlineStr">
        <is>
          <t>Weekly pipeline rca-cigna-proclaim-accent_claims_mem_prov_GDF2_4 is getting failed for data date 2026/04/06</t>
        </is>
      </c>
      <c r="E181" s="44" t="inlineStr">
        <is>
          <t>Above pipeline is getting failed with error message File /dataingestionprod/restricted/122-cigna-proclaim/rawincoming/2022-01-10-75370127/1.13/9232/20260401/1 does not exist. Although all 20 files are available. please investigate and help fix the issue.</t>
        </is>
      </c>
      <c r="F181" s="44" t="inlineStr"/>
      <c r="G181" s="44" t="inlineStr">
        <is>
          <t>Ingestion date 4/5/2026 completed; All we needed to do was just rerun.</t>
        </is>
      </c>
      <c r="H181" s="43" t="inlineStr">
        <is>
          <t>Other</t>
        </is>
      </c>
      <c r="I181" s="43" t="inlineStr">
        <is>
          <t>Other</t>
        </is>
      </c>
      <c r="J181" s="43" t="inlineStr"/>
      <c r="K181" s="43" t="inlineStr">
        <is>
          <t>Closed</t>
        </is>
      </c>
      <c r="L181" s="43" t="inlineStr">
        <is>
          <t>2026-04-07</t>
        </is>
      </c>
      <c r="M181" s="43" t="inlineStr">
        <is>
          <t>2026-04-23</t>
        </is>
      </c>
      <c r="N181" s="43" t="inlineStr">
        <is>
          <t>Nile Production Support</t>
        </is>
      </c>
      <c r="O181" s="43" t="inlineStr">
        <is>
          <t>Unassigned</t>
        </is>
      </c>
      <c r="P181" s="43" t="inlineStr">
        <is>
          <t>Kandel, Amik</t>
        </is>
      </c>
      <c r="Q181" s="43" t="inlineStr">
        <is>
          <t>Resolved</t>
        </is>
      </c>
      <c r="R181" s="44" t="inlineStr"/>
      <c r="S181" s="43" t="inlineStr"/>
      <c r="T181" s="43" t="inlineStr"/>
      <c r="U181" s="43" t="inlineStr"/>
      <c r="V181" s="62" t="inlineStr">
        <is>
          <t>Pipeline Schedule</t>
        </is>
      </c>
      <c r="W181" s="43" t="inlineStr"/>
    </row>
    <row r="182">
      <c r="A182" s="46" t="inlineStr">
        <is>
          <t>IT-2974797</t>
        </is>
      </c>
      <c r="B182" s="46" t="inlineStr">
        <is>
          <t>IT-2974797</t>
        </is>
      </c>
      <c r="C182" s="46" t="inlineStr"/>
      <c r="D182" s="47" t="inlineStr">
        <is>
          <t>Spooler Failure: accentsep-cigna-proclaimpmhs-SP-CIGACV-AccentExport</t>
        </is>
      </c>
      <c r="E182" s="47" t="inlineStr">
        <is>
          <t>The spooler accentsep-cigna-proclaimpmhs-SP-CIGACV-AccentExport got failed. Please investigate and advise.</t>
        </is>
      </c>
      <c r="F182" s="47" t="inlineStr">
        <is>
          <t>Permission issue while spooling the file, Working with MFT team. File spooled and processed successfully.</t>
        </is>
      </c>
      <c r="G182" s="47" t="inlineStr">
        <is>
          <t>File spooled and processed successfully.</t>
        </is>
      </c>
      <c r="H182" s="46" t="inlineStr">
        <is>
          <t>Other</t>
        </is>
      </c>
      <c r="I182" s="46" t="inlineStr">
        <is>
          <t>Other</t>
        </is>
      </c>
      <c r="J182" s="46" t="inlineStr"/>
      <c r="K182" s="46" t="inlineStr">
        <is>
          <t>Closed</t>
        </is>
      </c>
      <c r="L182" s="46" t="inlineStr">
        <is>
          <t>2026-04-07</t>
        </is>
      </c>
      <c r="M182" s="46" t="inlineStr">
        <is>
          <t>2026-04-08</t>
        </is>
      </c>
      <c r="N182" s="46" t="inlineStr">
        <is>
          <t>Nile Production Support</t>
        </is>
      </c>
      <c r="O182" s="46" t="inlineStr">
        <is>
          <t>Unassigned</t>
        </is>
      </c>
      <c r="P182" s="46" t="inlineStr">
        <is>
          <t>Bhattarai, Krishna</t>
        </is>
      </c>
      <c r="Q182" s="46" t="inlineStr">
        <is>
          <t>Resolved</t>
        </is>
      </c>
      <c r="R182" s="47" t="inlineStr">
        <is>
          <t>Permission issue while spooling the file, Working with MFT team. File spooled and processed successfully.</t>
        </is>
      </c>
      <c r="S182" s="46" t="inlineStr"/>
      <c r="T182" s="46" t="inlineStr"/>
      <c r="U182" s="46" t="inlineStr"/>
      <c r="V182" s="61" t="inlineStr">
        <is>
          <t>Spooler issue</t>
        </is>
      </c>
      <c r="W182" s="46" t="inlineStr"/>
    </row>
    <row r="183">
      <c r="A183" s="43" t="inlineStr">
        <is>
          <t>IT-2974351</t>
        </is>
      </c>
      <c r="B183" s="43" t="inlineStr">
        <is>
          <t>IT-2974351</t>
        </is>
      </c>
      <c r="C183" s="43" t="inlineStr"/>
      <c r="D183" s="44" t="inlineStr">
        <is>
          <t>rca-cigna-facets-accent_claims_mem_prov_GDF2_4 Pipeline Got Failed.</t>
        </is>
      </c>
      <c r="E183" s="44" t="inlineStr">
        <is>
          <t>rca-cigna-facets-accent_claims_mem_prov_GDF2_4 Pipeline Got Failed. Failed stage: Looper-create_standard_impala_tables [looper]</t>
        </is>
      </c>
      <c r="F183" s="44" t="inlineStr">
        <is>
          <t>Pipeline processed successfully.</t>
        </is>
      </c>
      <c r="G183" s="44" t="inlineStr">
        <is>
          <t>Pipeline processed successfully.</t>
        </is>
      </c>
      <c r="H183" s="43" t="inlineStr">
        <is>
          <t>Other</t>
        </is>
      </c>
      <c r="I183" s="43" t="inlineStr">
        <is>
          <t>Other</t>
        </is>
      </c>
      <c r="J183" s="43" t="inlineStr"/>
      <c r="K183" s="43" t="inlineStr">
        <is>
          <t>Closed</t>
        </is>
      </c>
      <c r="L183" s="43" t="inlineStr">
        <is>
          <t>2026-04-06</t>
        </is>
      </c>
      <c r="M183" s="43" t="inlineStr">
        <is>
          <t>2026-04-07</t>
        </is>
      </c>
      <c r="N183" s="43" t="inlineStr">
        <is>
          <t>Nile Production Support</t>
        </is>
      </c>
      <c r="O183" s="43" t="inlineStr">
        <is>
          <t>Unassigned</t>
        </is>
      </c>
      <c r="P183" s="43" t="inlineStr">
        <is>
          <t>Aryal, Neerajan</t>
        </is>
      </c>
      <c r="Q183" s="43" t="inlineStr">
        <is>
          <t>Resolved</t>
        </is>
      </c>
      <c r="R183" s="44" t="inlineStr">
        <is>
          <t>Pipeline processed successfully.</t>
        </is>
      </c>
      <c r="S183" s="43" t="inlineStr"/>
      <c r="T183" s="43" t="inlineStr"/>
      <c r="U183" s="43" t="inlineStr"/>
      <c r="V183" s="62" t="inlineStr">
        <is>
          <t>Pipeline Schedule</t>
        </is>
      </c>
      <c r="W183" s="43" t="inlineStr"/>
    </row>
    <row r="184">
      <c r="A184" s="46" t="inlineStr">
        <is>
          <t>IT-2974321</t>
        </is>
      </c>
      <c r="B184" s="46" t="inlineStr">
        <is>
          <t>IT-2974321</t>
        </is>
      </c>
      <c r="C184" s="46" t="inlineStr"/>
      <c r="D184" s="47" t="inlineStr">
        <is>
          <t>Unmatched gdf_institutional_claims raw data count - 20260406_1 - prod - bcbssc-pbm-pharmacy_claims_custom_GDF2_5</t>
        </is>
      </c>
      <c r="E184" s="47" t="inlineStr">
        <is>
          <t>bcbssc-pbm-pharmacy_claims_custom_GDF2_5 Pipeline got failed due to Unmatched Raw Data Count. Mail Sub: Unmatched gdf_institutional_claims raw data count - 20260406_1 - prod - bcbssc-pbm-pharmacy_claims_custom_GDF2_5</t>
        </is>
      </c>
      <c r="F184" s="47"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G184" s="47" t="inlineStr">
        <is>
          <t>Pipeline completed after overwrite parameter.</t>
        </is>
      </c>
      <c r="H184" s="46" t="inlineStr">
        <is>
          <t>Other</t>
        </is>
      </c>
      <c r="I184" s="46" t="inlineStr">
        <is>
          <t>Other</t>
        </is>
      </c>
      <c r="J184" s="46" t="inlineStr"/>
      <c r="K184" s="46" t="inlineStr">
        <is>
          <t>Closed</t>
        </is>
      </c>
      <c r="L184" s="46" t="inlineStr">
        <is>
          <t>2026-04-06</t>
        </is>
      </c>
      <c r="M184" s="46" t="inlineStr">
        <is>
          <t>2026-05-06</t>
        </is>
      </c>
      <c r="N184" s="46" t="inlineStr">
        <is>
          <t>Nile Production Support</t>
        </is>
      </c>
      <c r="O184" s="46" t="inlineStr">
        <is>
          <t>Unassigned</t>
        </is>
      </c>
      <c r="P184" s="46" t="inlineStr">
        <is>
          <t>Aryal, Neerajan</t>
        </is>
      </c>
      <c r="Q184" s="46" t="inlineStr">
        <is>
          <t>Resolved</t>
        </is>
      </c>
      <c r="R184" s="47"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S184" s="46" t="inlineStr"/>
      <c r="T184" s="46" t="inlineStr"/>
      <c r="U184" s="46" t="inlineStr"/>
      <c r="V184" s="55" t="inlineStr">
        <is>
          <t>Data Issue</t>
        </is>
      </c>
      <c r="W184" s="46" t="inlineStr"/>
    </row>
    <row r="185">
      <c r="A185" s="43" t="inlineStr">
        <is>
          <t>IT-2974191</t>
        </is>
      </c>
      <c r="B185" s="43" t="inlineStr">
        <is>
          <t>IT-2974191</t>
        </is>
      </c>
      <c r="C185" s="43" t="inlineStr"/>
      <c r="D185" s="44" t="inlineStr">
        <is>
          <t>BCBSND-OSCAR: fwa-BCBSND-OSCAR_member_GDF2_3 (ingestion date 3/11)</t>
        </is>
      </c>
      <c r="E185" s="44"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F185" s="44" t="inlineStr">
        <is>
          <t>Created a new version fwa-BCBSND-OSCAR_member_GDF2_3 1.1</t>
        </is>
      </c>
      <c r="G185" s="44" t="inlineStr">
        <is>
          <t>fixed and ingested files for 2026/03/11 need to schedule pipeline</t>
        </is>
      </c>
      <c r="H185" s="43" t="inlineStr">
        <is>
          <t>Other</t>
        </is>
      </c>
      <c r="I185" s="43" t="inlineStr">
        <is>
          <t>Other</t>
        </is>
      </c>
      <c r="J185" s="43" t="inlineStr"/>
      <c r="K185" s="43" t="inlineStr">
        <is>
          <t>Closed</t>
        </is>
      </c>
      <c r="L185" s="43" t="inlineStr">
        <is>
          <t>2026-04-06</t>
        </is>
      </c>
      <c r="M185" s="43" t="inlineStr">
        <is>
          <t>2026-04-08</t>
        </is>
      </c>
      <c r="N185" s="43" t="inlineStr">
        <is>
          <t>Nile Production Support</t>
        </is>
      </c>
      <c r="O185" s="43" t="inlineStr">
        <is>
          <t>Unassigned</t>
        </is>
      </c>
      <c r="P185" s="43" t="inlineStr">
        <is>
          <t>Enid Ike</t>
        </is>
      </c>
      <c r="Q185" s="43" t="inlineStr">
        <is>
          <t>Resolved</t>
        </is>
      </c>
      <c r="R185" s="44" t="inlineStr">
        <is>
          <t>Created a new version fwa-BCBSND-OSCAR_member_GDF2_3 1.1</t>
        </is>
      </c>
      <c r="S185" s="43" t="inlineStr"/>
      <c r="T185" s="43" t="inlineStr"/>
      <c r="U185" s="43" t="inlineStr"/>
      <c r="V185" s="62" t="inlineStr">
        <is>
          <t>Pipeline Schedule</t>
        </is>
      </c>
      <c r="W185" s="43" t="inlineStr"/>
    </row>
    <row r="186">
      <c r="A186" s="46" t="inlineStr">
        <is>
          <t>IT-2973897</t>
        </is>
      </c>
      <c r="B186" s="46" t="inlineStr">
        <is>
          <t>IT-2973897</t>
        </is>
      </c>
      <c r="C186" s="46" t="inlineStr"/>
      <c r="D186" s="47" t="inlineStr">
        <is>
          <t>CCV CAT Excellus Primary Diagnosis Code Data</t>
        </is>
      </c>
      <c r="E186" s="47"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F186" s="47" t="inlineStr">
        <is>
          <t>Shared raw, gdf and cdf details for the sample claims Thanks Satish Devatha</t>
        </is>
      </c>
      <c r="G186" s="47" t="inlineStr">
        <is>
          <t>Shared Details</t>
        </is>
      </c>
      <c r="H186" s="46" t="inlineStr">
        <is>
          <t>Other</t>
        </is>
      </c>
      <c r="I186" s="46" t="inlineStr">
        <is>
          <t>Other</t>
        </is>
      </c>
      <c r="J186" s="46" t="inlineStr"/>
      <c r="K186" s="46" t="inlineStr">
        <is>
          <t>Closed</t>
        </is>
      </c>
      <c r="L186" s="46" t="inlineStr">
        <is>
          <t>2026-04-06</t>
        </is>
      </c>
      <c r="M186" s="46" t="inlineStr">
        <is>
          <t>2026-04-29</t>
        </is>
      </c>
      <c r="N186" s="46" t="inlineStr">
        <is>
          <t>Nile Production Support</t>
        </is>
      </c>
      <c r="O186" s="46" t="inlineStr">
        <is>
          <t>Unassigned</t>
        </is>
      </c>
      <c r="P186" s="46" t="inlineStr">
        <is>
          <t>Arevalo, Anna</t>
        </is>
      </c>
      <c r="Q186" s="46" t="inlineStr">
        <is>
          <t>Resolved</t>
        </is>
      </c>
      <c r="R186" s="47" t="inlineStr">
        <is>
          <t>Shared raw, gdf and cdf details for the sample claims Thanks Satish Devatha</t>
        </is>
      </c>
      <c r="S186" s="46" t="inlineStr"/>
      <c r="T186" s="46" t="inlineStr"/>
      <c r="U186" s="46" t="inlineStr"/>
      <c r="V186" s="57" t="inlineStr">
        <is>
          <t>Other</t>
        </is>
      </c>
      <c r="W186" s="46" t="inlineStr">
        <is>
          <t>Yes</t>
        </is>
      </c>
    </row>
    <row r="187">
      <c r="A187" s="43" t="inlineStr">
        <is>
          <t>IT-2973653</t>
        </is>
      </c>
      <c r="B187" s="43" t="inlineStr">
        <is>
          <t>IT-2973653</t>
        </is>
      </c>
      <c r="C187" s="43" t="inlineStr"/>
      <c r="D187" s="44" t="inlineStr">
        <is>
          <t>DM and RCOB Layouts for Independence Blue Cross</t>
        </is>
      </c>
      <c r="E187" s="44" t="inlineStr">
        <is>
          <t>Hello, we need to conduct an OA analysis for Independence Blue Cross. We would like to use the DM and RCOB layout to get started. Will you please send these files to us?</t>
        </is>
      </c>
      <c r="F187" s="44" t="inlineStr">
        <is>
          <t>Hi Smith, Emily Shared the schema layouts Thanks Satish Devatha</t>
        </is>
      </c>
      <c r="G187" s="44" t="inlineStr">
        <is>
          <t>Shared the schema layouts</t>
        </is>
      </c>
      <c r="H187" s="43" t="inlineStr">
        <is>
          <t>Other</t>
        </is>
      </c>
      <c r="I187" s="43" t="inlineStr">
        <is>
          <t>Other</t>
        </is>
      </c>
      <c r="J187" s="43" t="inlineStr"/>
      <c r="K187" s="43" t="inlineStr">
        <is>
          <t>Closed</t>
        </is>
      </c>
      <c r="L187" s="43" t="inlineStr">
        <is>
          <t>2026-04-06</t>
        </is>
      </c>
      <c r="M187" s="43" t="inlineStr">
        <is>
          <t>2026-04-07</t>
        </is>
      </c>
      <c r="N187" s="43" t="inlineStr">
        <is>
          <t>Nile Production Support</t>
        </is>
      </c>
      <c r="O187" s="43" t="inlineStr">
        <is>
          <t>Unassigned</t>
        </is>
      </c>
      <c r="P187" s="43" t="inlineStr">
        <is>
          <t>Smith, Emily</t>
        </is>
      </c>
      <c r="Q187" s="43" t="inlineStr">
        <is>
          <t>Resolved</t>
        </is>
      </c>
      <c r="R187" s="44" t="inlineStr">
        <is>
          <t>Hi Smith, Emily Shared the schema layouts Thanks Satish Devatha</t>
        </is>
      </c>
      <c r="S187" s="43" t="inlineStr"/>
      <c r="T187" s="43" t="inlineStr"/>
      <c r="U187" s="43" t="inlineStr"/>
      <c r="V187" s="58" t="inlineStr">
        <is>
          <t>Other</t>
        </is>
      </c>
      <c r="W187" s="43" t="inlineStr">
        <is>
          <t>Yes</t>
        </is>
      </c>
    </row>
    <row r="188">
      <c r="A188" s="46" t="inlineStr">
        <is>
          <t>IT-2973505</t>
        </is>
      </c>
      <c r="B188" s="46" t="inlineStr">
        <is>
          <t>IT-2973505</t>
        </is>
      </c>
      <c r="C188" s="46" t="inlineStr"/>
      <c r="D188" s="47" t="inlineStr">
        <is>
          <t>Centene sFTP password needs to be changed</t>
        </is>
      </c>
      <c r="E188" s="47" t="inlineStr">
        <is>
          <t>all jobs need to be stopped while we create new password, and then they will need to be updated with the corrected password</t>
        </is>
      </c>
      <c r="F188" s="47" t="inlineStr">
        <is>
          <t>All our automated spooler that fetched data directly to centene.sftp.com are now suspended. From the Axway side, Bhargavi already disabled them since last Friday, 4/3. Thanks melly</t>
        </is>
      </c>
      <c r="G188" s="47" t="inlineStr">
        <is>
          <t>All auto jobs are suspended.</t>
        </is>
      </c>
      <c r="H188" s="46" t="inlineStr"/>
      <c r="I188" s="46" t="inlineStr"/>
      <c r="J188" s="46" t="inlineStr"/>
      <c r="K188" s="46" t="inlineStr">
        <is>
          <t>Closed</t>
        </is>
      </c>
      <c r="L188" s="46" t="inlineStr">
        <is>
          <t>2026-04-06</t>
        </is>
      </c>
      <c r="M188" s="46" t="inlineStr">
        <is>
          <t>2026-04-08</t>
        </is>
      </c>
      <c r="N188" s="46" t="inlineStr">
        <is>
          <t>Nile Production Support</t>
        </is>
      </c>
      <c r="O188" s="46" t="inlineStr">
        <is>
          <t>Unassigned</t>
        </is>
      </c>
      <c r="P188" s="46" t="inlineStr">
        <is>
          <t>Brittany Johnson</t>
        </is>
      </c>
      <c r="Q188" s="46" t="inlineStr">
        <is>
          <t>Closed</t>
        </is>
      </c>
      <c r="R188" s="47" t="inlineStr">
        <is>
          <t>All our automated spooler that fetched data directly to centene.sftp.com are now suspended. From the Axway side, Bhargavi already disabled them since last Friday, 4/3. Thanks melly</t>
        </is>
      </c>
      <c r="S188" s="46" t="inlineStr"/>
      <c r="T188" s="46" t="inlineStr"/>
      <c r="U188" s="46" t="inlineStr"/>
      <c r="V188" s="54" t="inlineStr">
        <is>
          <t>Configuration Issue</t>
        </is>
      </c>
      <c r="W188" s="46" t="inlineStr"/>
    </row>
    <row r="189">
      <c r="A189" s="43" t="inlineStr">
        <is>
          <t>IT-2973159</t>
        </is>
      </c>
      <c r="B189" s="43" t="inlineStr">
        <is>
          <t>IT-2973159</t>
        </is>
      </c>
      <c r="C189" s="43" t="inlineStr"/>
      <c r="D189" s="44" t="inlineStr">
        <is>
          <t>FWAM - BCBS North Dakota CDF File Record Counts Low for 2/26 Run.</t>
        </is>
      </c>
      <c r="E189" s="44" t="inlineStr">
        <is>
          <t>Good Day. The record counts for the FWAM BCBS North Dakota CDF are very low for the 02/2026 Nile runs. We are only getting about 25% of our normal CDF records. Below is a record counts for the 01/2026 run (good run) and then the record counts for 02/2026. 01/2026 425849 chhosp_202601.dat 998791 cpprof_202601.dat 709081 crrev_202601.dat 0 d1diag9_202601.dat 592487 d2diag10_202601.dat 0 d3proc9_202601.dat 6806 d4proc10_202601.dat 0 d5diag9_202601.dat 1930270 d6diag10_202601.dat 701827 mbr_202601.dat 61513 prov_202601.dat 61513 provnpi_202601.dat 388556 rxphar_202601.dat 02/2026 96491 chhosp_202602.dat 207950 cpprof_202602.dat 162221 crrev_202602.dat 0 d1diag9_202602.dat 140945 d2diag10_202602.dat 0 d3proc9_202602.dat 1506 d4proc10_202602.dat 0 d5diag9_202602.dat 404037 d6diag10_202602.dat 701827 mbr_202602.dat 61513 prov_202602.dat 61513 provnpi_202602.dat 92308 rxphar_202602.dat This should be prioritzed if at all possible. The customer is now a month behind with their FWA processing.</t>
        </is>
      </c>
      <c r="F189" s="44"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G189" s="44" t="inlineStr">
        <is>
          <t>Ran all Fb and March loads. fixing and investigating all member discards</t>
        </is>
      </c>
      <c r="H189" s="43" t="inlineStr">
        <is>
          <t>Other</t>
        </is>
      </c>
      <c r="I189" s="43" t="inlineStr">
        <is>
          <t>Other</t>
        </is>
      </c>
      <c r="J189" s="43" t="inlineStr"/>
      <c r="K189" s="43" t="inlineStr">
        <is>
          <t>Closed</t>
        </is>
      </c>
      <c r="L189" s="43" t="inlineStr">
        <is>
          <t>2026-04-06</t>
        </is>
      </c>
      <c r="M189" s="43" t="inlineStr">
        <is>
          <t>2026-04-11</t>
        </is>
      </c>
      <c r="N189" s="43" t="inlineStr">
        <is>
          <t>Nile Production Support</t>
        </is>
      </c>
      <c r="O189" s="43" t="inlineStr">
        <is>
          <t>Unassigned</t>
        </is>
      </c>
      <c r="P189" s="43" t="inlineStr">
        <is>
          <t>Crum, David</t>
        </is>
      </c>
      <c r="Q189" s="43" t="inlineStr">
        <is>
          <t>Resolved</t>
        </is>
      </c>
      <c r="R189" s="44"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S189" s="43" t="inlineStr"/>
      <c r="T189" s="43" t="inlineStr"/>
      <c r="U189" s="43" t="inlineStr"/>
      <c r="V189" s="65" t="inlineStr">
        <is>
          <t>Metric drop</t>
        </is>
      </c>
      <c r="W189" s="43" t="inlineStr"/>
    </row>
    <row r="190">
      <c r="A190" s="46" t="inlineStr">
        <is>
          <t>IT-2973088</t>
        </is>
      </c>
      <c r="B190" s="46" t="inlineStr">
        <is>
          <t>IT-2973088</t>
        </is>
      </c>
      <c r="C190" s="46" t="inlineStr"/>
      <c r="D190" s="47" t="inlineStr">
        <is>
          <t>Copy files From Nile Prod Raw path to Nile QC Raw path - Aetna Trad</t>
        </is>
      </c>
      <c r="E190" s="47"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90" s="47" t="inlineStr">
        <is>
          <t>Hi Shivalingu, Naveen Files are copied please verify</t>
        </is>
      </c>
      <c r="G190" s="47" t="inlineStr">
        <is>
          <t>Files Copied</t>
        </is>
      </c>
      <c r="H190" s="46" t="inlineStr">
        <is>
          <t>Other</t>
        </is>
      </c>
      <c r="I190" s="46" t="inlineStr">
        <is>
          <t>Other</t>
        </is>
      </c>
      <c r="J190" s="46" t="inlineStr"/>
      <c r="K190" s="46" t="inlineStr">
        <is>
          <t>Closed</t>
        </is>
      </c>
      <c r="L190" s="46" t="inlineStr">
        <is>
          <t>2026-04-06</t>
        </is>
      </c>
      <c r="M190" s="46" t="inlineStr">
        <is>
          <t>2026-04-06</t>
        </is>
      </c>
      <c r="N190" s="46" t="inlineStr">
        <is>
          <t>Nile Production Support</t>
        </is>
      </c>
      <c r="O190" s="46" t="inlineStr">
        <is>
          <t>Unassigned</t>
        </is>
      </c>
      <c r="P190" s="46" t="inlineStr">
        <is>
          <t>Shivalingu, Naveen</t>
        </is>
      </c>
      <c r="Q190" s="46" t="inlineStr">
        <is>
          <t>Resolved</t>
        </is>
      </c>
      <c r="R190" s="47" t="inlineStr">
        <is>
          <t>Hi Shivalingu, Naveen Files are copied please verify</t>
        </is>
      </c>
      <c r="S190" s="46" t="inlineStr"/>
      <c r="T190" s="46" t="inlineStr"/>
      <c r="U190" s="46" t="inlineStr"/>
      <c r="V190" s="57" t="inlineStr">
        <is>
          <t>Other</t>
        </is>
      </c>
      <c r="W190" s="46" t="inlineStr">
        <is>
          <t>Yes</t>
        </is>
      </c>
    </row>
    <row r="191">
      <c r="A191" s="43" t="inlineStr">
        <is>
          <t>IT-2973049</t>
        </is>
      </c>
      <c r="B191" s="43" t="inlineStr">
        <is>
          <t>IT-2973049</t>
        </is>
      </c>
      <c r="C191" s="43" t="inlineStr"/>
      <c r="D191" s="44" t="inlineStr">
        <is>
          <t>Pipeline: dm-centene-centene-actian_migration_claims_icd10 | Unmatched | Failed | Zero Ingested row count</t>
        </is>
      </c>
      <c r="E191" s="44" t="inlineStr">
        <is>
          <t>Pipeline: dm-centene-centene-actian_migration_claims_icd10 , Version: V1.1 , Data Date: 2026/04/04 The above pipeline failed. Result shows 0 Ingested row count. Sub Email for ref: Unmatched claims_icd10 raw data count - 20260404_1 - prod - dm-centene-centene-actian_migration_claims_icd10 Please investigate further. Thank you</t>
        </is>
      </c>
      <c r="F191" s="44"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G191" s="44" t="inlineStr">
        <is>
          <t>found out that there is a new column causing issues. We need to update the schema, UD mapping and validation Also worked with EDM to make sure SQL table is updated</t>
        </is>
      </c>
      <c r="H191" s="43" t="inlineStr">
        <is>
          <t>Other</t>
        </is>
      </c>
      <c r="I191" s="43" t="inlineStr">
        <is>
          <t>Other</t>
        </is>
      </c>
      <c r="J191" s="43" t="inlineStr"/>
      <c r="K191" s="43" t="inlineStr">
        <is>
          <t>Closed</t>
        </is>
      </c>
      <c r="L191" s="43" t="inlineStr">
        <is>
          <t>2026-04-06</t>
        </is>
      </c>
      <c r="M191" s="43" t="inlineStr">
        <is>
          <t>2026-04-08</t>
        </is>
      </c>
      <c r="N191" s="43" t="inlineStr">
        <is>
          <t>Nile Production Support</t>
        </is>
      </c>
      <c r="O191" s="43" t="inlineStr">
        <is>
          <t>Unassigned</t>
        </is>
      </c>
      <c r="P191" s="43" t="inlineStr">
        <is>
          <t>Enid Ike</t>
        </is>
      </c>
      <c r="Q191" s="43" t="inlineStr">
        <is>
          <t>Resolved</t>
        </is>
      </c>
      <c r="R191" s="44"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S191" s="43" t="inlineStr"/>
      <c r="T191" s="43" t="inlineStr"/>
      <c r="U191" s="43" t="inlineStr"/>
      <c r="V191" s="49" t="inlineStr">
        <is>
          <t>Configuration Issue</t>
        </is>
      </c>
      <c r="W191" s="43" t="inlineStr"/>
    </row>
    <row r="192">
      <c r="A192" s="46" t="inlineStr">
        <is>
          <t>IT-2972974</t>
        </is>
      </c>
      <c r="B192" s="46" t="inlineStr">
        <is>
          <t>IT-2972974</t>
        </is>
      </c>
      <c r="C192" s="46" t="inlineStr"/>
      <c r="D192" s="47" t="inlineStr">
        <is>
          <t>Wellcare PBM trigger file permission issue for new platform process.</t>
        </is>
      </c>
      <c r="E192" s="47" t="inlineStr">
        <is>
          <t>Wellcare monthly PBM has two files (Medicare and Medicaid). This month was the first time the monthly PBM process ran on new platform. The Trigger File Handler job moved the Medicare trigger file into archived folder, however, it did not move Medicaid trigger file into archive folder. I reached out to Genesis team and Roy mentioned that the permission on Medicaid file shows as rw-r r - instead of -rwxrwxr-x. That is the reason why Medicaid trigger file did not get moved into archived folder. Can we please fix the permissions on the Medicaid trigger file? Please see attached screenshots.</t>
        </is>
      </c>
      <c r="F192" s="47"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G192" s="47" t="inlineStr"/>
      <c r="H192" s="46" t="inlineStr"/>
      <c r="I192" s="46" t="inlineStr"/>
      <c r="J192" s="46" t="inlineStr"/>
      <c r="K192" s="46" t="inlineStr">
        <is>
          <t>Cancelled</t>
        </is>
      </c>
      <c r="L192" s="46" t="inlineStr">
        <is>
          <t>2026-04-06</t>
        </is>
      </c>
      <c r="M192" s="46" t="inlineStr">
        <is>
          <t>2026-04-06</t>
        </is>
      </c>
      <c r="N192" s="46" t="inlineStr">
        <is>
          <t>Nile Production Support</t>
        </is>
      </c>
      <c r="O192" s="46" t="inlineStr">
        <is>
          <t>Unassigned</t>
        </is>
      </c>
      <c r="P192" s="46" t="inlineStr">
        <is>
          <t>Trivedi Shukla, Zarna</t>
        </is>
      </c>
      <c r="Q192" s="46" t="inlineStr">
        <is>
          <t>Cancelled</t>
        </is>
      </c>
      <c r="R192" s="47"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S192" s="46" t="inlineStr"/>
      <c r="T192" s="46" t="inlineStr"/>
      <c r="U192" s="46" t="inlineStr"/>
      <c r="V192" s="68" t="inlineStr">
        <is>
          <t>Issue Platform</t>
        </is>
      </c>
      <c r="W192" s="46" t="inlineStr"/>
    </row>
    <row r="193">
      <c r="A193" s="43" t="inlineStr">
        <is>
          <t>IT-2972495</t>
        </is>
      </c>
      <c r="B193" s="43" t="inlineStr">
        <is>
          <t>IT-2972495</t>
        </is>
      </c>
      <c r="C193" s="43" t="inlineStr"/>
      <c r="D193" s="44" t="inlineStr">
        <is>
          <t>Spooler centene-centene-claims-provider-actian-test is getting failed</t>
        </is>
      </c>
      <c r="E193" s="44" t="inlineStr">
        <is>
          <t>Above spooler is getting failed with error message Exception occurred while establishing SFTP connection : Algorithm negotiation fail: algorithmName="server_host_key" jschProposal="ssh-ed25519,ecdsa-sha2-nistp256,ecdsa-sha2-nistp384,ecdsa-sha2-nistp521,rsa-sha2-512,rsa-sha2-256,ssh-dss" serverProposal="ssh-rsa". Please investigate and help fix the issue.</t>
        </is>
      </c>
      <c r="F193" s="44" t="inlineStr">
        <is>
          <t>sftp.centene,com is locked because of the password refresh checkign if account is still locked</t>
        </is>
      </c>
      <c r="G193" s="44" t="inlineStr">
        <is>
          <t>edited the spooler to connct with sftp.centne.com</t>
        </is>
      </c>
      <c r="H193" s="43" t="inlineStr">
        <is>
          <t>Other</t>
        </is>
      </c>
      <c r="I193" s="43" t="inlineStr">
        <is>
          <t>Other</t>
        </is>
      </c>
      <c r="J193" s="43" t="inlineStr"/>
      <c r="K193" s="43" t="inlineStr">
        <is>
          <t>Closed</t>
        </is>
      </c>
      <c r="L193" s="43" t="inlineStr">
        <is>
          <t>2026-04-06</t>
        </is>
      </c>
      <c r="M193" s="43" t="inlineStr">
        <is>
          <t>2026-04-22</t>
        </is>
      </c>
      <c r="N193" s="43" t="inlineStr">
        <is>
          <t>Nile Production Support</t>
        </is>
      </c>
      <c r="O193" s="43" t="inlineStr">
        <is>
          <t>Unassigned</t>
        </is>
      </c>
      <c r="P193" s="43" t="inlineStr">
        <is>
          <t>Kandel, Amik</t>
        </is>
      </c>
      <c r="Q193" s="43" t="inlineStr">
        <is>
          <t>Resolved</t>
        </is>
      </c>
      <c r="R193" s="44" t="inlineStr">
        <is>
          <t>sftp.centene,com is locked because of the password refresh checkign if account is still locked</t>
        </is>
      </c>
      <c r="S193" s="43" t="inlineStr"/>
      <c r="T193" s="43" t="inlineStr"/>
      <c r="U193" s="43" t="inlineStr"/>
      <c r="V193" s="56" t="inlineStr">
        <is>
          <t>Spooler issue</t>
        </is>
      </c>
      <c r="W193" s="43" t="inlineStr"/>
    </row>
    <row r="194">
      <c r="A194" s="46" t="inlineStr">
        <is>
          <t>IT-2972466</t>
        </is>
      </c>
      <c r="B194" s="46" t="inlineStr">
        <is>
          <t>IT-2972466</t>
        </is>
      </c>
      <c r="C194" s="46" t="inlineStr"/>
      <c r="D194" s="47" t="inlineStr">
        <is>
          <t>Spooler bcbsnjhorizon_facets_no_touch is not spooling files</t>
        </is>
      </c>
      <c r="E194" s="47" t="inlineStr">
        <is>
          <t>bcbsnjhorizon_facets_no_touch spooler didn't spool below files. Therefore, Pipeline bcbsnjhorizon_facets_no_touch hasn;t run since 2024/03/13. CIRRUS_Claim_Nbr_Extract_03-20-24_03-20-26.txt CIRRUS_Claim_Nbr_Extract_03-27-24_03-27-26.txt CIRRUS_Claim_Nbr_Extract_04-03-24_04-03-26.txt Please investigate and help fix the issue.</t>
        </is>
      </c>
      <c r="F194" s="47" t="inlineStr">
        <is>
          <t>All missing files are spooled</t>
        </is>
      </c>
      <c r="G194" s="47" t="inlineStr">
        <is>
          <t>All missing files are spooled</t>
        </is>
      </c>
      <c r="H194" s="46" t="inlineStr">
        <is>
          <t>Other</t>
        </is>
      </c>
      <c r="I194" s="46" t="inlineStr">
        <is>
          <t>Other</t>
        </is>
      </c>
      <c r="J194" s="46" t="inlineStr"/>
      <c r="K194" s="46" t="inlineStr">
        <is>
          <t>Closed</t>
        </is>
      </c>
      <c r="L194" s="46" t="inlineStr">
        <is>
          <t>2026-04-06</t>
        </is>
      </c>
      <c r="M194" s="46" t="inlineStr">
        <is>
          <t>2026-04-06</t>
        </is>
      </c>
      <c r="N194" s="46" t="inlineStr">
        <is>
          <t>Nile Production Support</t>
        </is>
      </c>
      <c r="O194" s="46" t="inlineStr">
        <is>
          <t>Unassigned</t>
        </is>
      </c>
      <c r="P194" s="46" t="inlineStr">
        <is>
          <t>Kandel, Amik</t>
        </is>
      </c>
      <c r="Q194" s="46" t="inlineStr">
        <is>
          <t>Resolved</t>
        </is>
      </c>
      <c r="R194" s="47" t="inlineStr">
        <is>
          <t>All missing files are spooled</t>
        </is>
      </c>
      <c r="S194" s="46" t="inlineStr"/>
      <c r="T194" s="46" t="inlineStr"/>
      <c r="U194" s="46" t="inlineStr"/>
      <c r="V194" s="61" t="inlineStr">
        <is>
          <t>Spooler issue</t>
        </is>
      </c>
      <c r="W194" s="46" t="inlineStr"/>
    </row>
    <row r="195">
      <c r="A195" s="43" t="inlineStr">
        <is>
          <t>IT-2972304</t>
        </is>
      </c>
      <c r="B195" s="43" t="inlineStr">
        <is>
          <t>IT-2972304</t>
        </is>
      </c>
      <c r="C195" s="43" t="inlineStr"/>
      <c r="D195" s="44" t="inlineStr">
        <is>
          <t>Centene ABS OLA Configurations</t>
        </is>
      </c>
      <c r="E195" s="44" t="inlineStr">
        <is>
          <t>Centene ABS OLA Configurations</t>
        </is>
      </c>
      <c r="F195" s="44" t="inlineStr">
        <is>
          <t>To Monitor the next executions tomorrow.</t>
        </is>
      </c>
      <c r="G195" s="44" t="inlineStr">
        <is>
          <t>Working as expected.</t>
        </is>
      </c>
      <c r="H195" s="43" t="inlineStr">
        <is>
          <t>Other</t>
        </is>
      </c>
      <c r="I195" s="43" t="inlineStr">
        <is>
          <t>Other</t>
        </is>
      </c>
      <c r="J195" s="43" t="inlineStr"/>
      <c r="K195" s="43" t="inlineStr">
        <is>
          <t>Closed</t>
        </is>
      </c>
      <c r="L195" s="43" t="inlineStr">
        <is>
          <t>2026-04-06</t>
        </is>
      </c>
      <c r="M195" s="43" t="inlineStr">
        <is>
          <t>2026-04-16</t>
        </is>
      </c>
      <c r="N195" s="43" t="inlineStr">
        <is>
          <t>Nile Production Support</t>
        </is>
      </c>
      <c r="O195" s="43" t="inlineStr">
        <is>
          <t>Unassigned</t>
        </is>
      </c>
      <c r="P195" s="43" t="inlineStr">
        <is>
          <t>Jani, Shaik</t>
        </is>
      </c>
      <c r="Q195" s="43" t="inlineStr">
        <is>
          <t>Resolved</t>
        </is>
      </c>
      <c r="R195" s="44" t="inlineStr">
        <is>
          <t>To Monitor the next executions tomorrow.</t>
        </is>
      </c>
      <c r="S195" s="43" t="inlineStr"/>
      <c r="T195" s="43" t="inlineStr"/>
      <c r="U195" s="43" t="inlineStr"/>
      <c r="V195" s="58" t="inlineStr">
        <is>
          <t>Other</t>
        </is>
      </c>
      <c r="W195" s="43" t="inlineStr">
        <is>
          <t>Yes</t>
        </is>
      </c>
    </row>
    <row r="196">
      <c r="A196" s="46" t="inlineStr">
        <is>
          <t>IT-2972291</t>
        </is>
      </c>
      <c r="B196" s="46" t="inlineStr">
        <is>
          <t>IT-2972291</t>
        </is>
      </c>
      <c r="C196" s="46" t="inlineStr"/>
      <c r="D196" s="47" t="inlineStr">
        <is>
          <t>Aetna HRP OLA Configuration</t>
        </is>
      </c>
      <c r="E196" s="47" t="inlineStr">
        <is>
          <t>Aetna HRP OLA Configuration</t>
        </is>
      </c>
      <c r="F196" s="47" t="inlineStr">
        <is>
          <t>Will wait for the changes to reflect in tomorrow monitoring.</t>
        </is>
      </c>
      <c r="G196" s="47" t="inlineStr">
        <is>
          <t>Configured the OLA as per the new feature.</t>
        </is>
      </c>
      <c r="H196" s="46" t="inlineStr">
        <is>
          <t>Other</t>
        </is>
      </c>
      <c r="I196" s="46" t="inlineStr">
        <is>
          <t>Other</t>
        </is>
      </c>
      <c r="J196" s="46" t="inlineStr"/>
      <c r="K196" s="46" t="inlineStr">
        <is>
          <t>Closed</t>
        </is>
      </c>
      <c r="L196" s="46" t="inlineStr">
        <is>
          <t>2026-04-06</t>
        </is>
      </c>
      <c r="M196" s="46" t="inlineStr">
        <is>
          <t>2026-05-04</t>
        </is>
      </c>
      <c r="N196" s="46" t="inlineStr">
        <is>
          <t>Nile Production Support</t>
        </is>
      </c>
      <c r="O196" s="46" t="inlineStr">
        <is>
          <t>Unassigned</t>
        </is>
      </c>
      <c r="P196" s="46" t="inlineStr">
        <is>
          <t>Jani, Shaik</t>
        </is>
      </c>
      <c r="Q196" s="46" t="inlineStr">
        <is>
          <t>Resolved</t>
        </is>
      </c>
      <c r="R196" s="47" t="inlineStr">
        <is>
          <t>Will wait for the changes to reflect in tomorrow monitoring.</t>
        </is>
      </c>
      <c r="S196" s="46" t="inlineStr"/>
      <c r="T196" s="46" t="inlineStr"/>
      <c r="U196" s="46" t="inlineStr"/>
      <c r="V196" s="54" t="inlineStr">
        <is>
          <t>Configuration Issue</t>
        </is>
      </c>
      <c r="W196" s="46" t="inlineStr"/>
    </row>
    <row r="197">
      <c r="A197" s="43" t="inlineStr">
        <is>
          <t>IT-2972270</t>
        </is>
      </c>
      <c r="B197" s="43" t="inlineStr">
        <is>
          <t>IT-2972270</t>
        </is>
      </c>
      <c r="C197" s="43" t="inlineStr"/>
      <c r="D197" s="44" t="inlineStr">
        <is>
          <t>Unmatched gdf_professional_claims raw data count - 20260405_1 - prod - ppm-premera-bluecross-history_professional_claims_GDF2_2_CDF2_2_Slim_Refactoring</t>
        </is>
      </c>
      <c r="E197" s="44" t="inlineStr">
        <is>
          <t>Pipeline: ppm-premera-bluecross-history_professional_claims_GDF2_2_CDF2_2_Slim_Refactoring Email ref: Unmatched gdf_professional_claims raw data count - 20260405_1 - prod - ppm-premera-bluecross-history_professional_claims_GDF2_2_CDF2_2_Slim_Refactoring</t>
        </is>
      </c>
      <c r="F197" s="44" t="inlineStr">
        <is>
          <t>There is already another ticket created for this issue.</t>
        </is>
      </c>
      <c r="G197" s="44" t="inlineStr"/>
      <c r="H197" s="43" t="inlineStr">
        <is>
          <t>Other</t>
        </is>
      </c>
      <c r="I197" s="43" t="inlineStr">
        <is>
          <t>Other</t>
        </is>
      </c>
      <c r="J197" s="43" t="inlineStr"/>
      <c r="K197" s="43" t="inlineStr">
        <is>
          <t>Cancelled</t>
        </is>
      </c>
      <c r="L197" s="43" t="inlineStr">
        <is>
          <t>2026-04-06</t>
        </is>
      </c>
      <c r="M197" s="43" t="inlineStr">
        <is>
          <t>2026-04-06</t>
        </is>
      </c>
      <c r="N197" s="43" t="inlineStr">
        <is>
          <t>Nile Production Support</t>
        </is>
      </c>
      <c r="O197" s="43" t="inlineStr">
        <is>
          <t>Unassigned</t>
        </is>
      </c>
      <c r="P197" s="43" t="inlineStr">
        <is>
          <t>Limbu, Sajan</t>
        </is>
      </c>
      <c r="Q197" s="43" t="inlineStr">
        <is>
          <t>Cancelled</t>
        </is>
      </c>
      <c r="R197" s="44" t="inlineStr">
        <is>
          <t>There is already another ticket created for this issue.</t>
        </is>
      </c>
      <c r="S197" s="43" t="inlineStr"/>
      <c r="T197" s="43" t="inlineStr"/>
      <c r="U197" s="43" t="inlineStr"/>
      <c r="V197" s="58" t="inlineStr">
        <is>
          <t>Other</t>
        </is>
      </c>
      <c r="W197" s="43" t="inlineStr">
        <is>
          <t>Yes</t>
        </is>
      </c>
    </row>
    <row r="198">
      <c r="A198" s="46" t="inlineStr">
        <is>
          <t>IT-2972208</t>
        </is>
      </c>
      <c r="B198" s="46" t="inlineStr">
        <is>
          <t>IT-2972208</t>
        </is>
      </c>
      <c r="C198" s="46" t="inlineStr"/>
      <c r="D198" s="47" t="inlineStr">
        <is>
          <t>Centene Healthnet Claims Pipeline got Failed.</t>
        </is>
      </c>
      <c r="E198" s="47" t="inlineStr">
        <is>
          <t>{ }Centene Healthnet Claims Pipeline got Failed due to unmathc raw data count issue. Mailsub: Unmatched claims raw data count - 20260403_1 - prod - dm-centene-healthnet-actian_migration_HNT_claims</t>
        </is>
      </c>
      <c r="F198" s="47" t="inlineStr">
        <is>
          <t>Fixed the new schema for an extra column files have been delivered successfully. Closing this ticket</t>
        </is>
      </c>
      <c r="G198" s="47" t="inlineStr">
        <is>
          <t>Files have been delivered after fixing UDC mapping and validation</t>
        </is>
      </c>
      <c r="H198" s="46" t="inlineStr">
        <is>
          <t>Other</t>
        </is>
      </c>
      <c r="I198" s="46" t="inlineStr">
        <is>
          <t>Other</t>
        </is>
      </c>
      <c r="J198" s="46" t="inlineStr"/>
      <c r="K198" s="46" t="inlineStr">
        <is>
          <t>Closed</t>
        </is>
      </c>
      <c r="L198" s="46" t="inlineStr">
        <is>
          <t>2026-04-06</t>
        </is>
      </c>
      <c r="M198" s="46" t="inlineStr">
        <is>
          <t>2026-04-08</t>
        </is>
      </c>
      <c r="N198" s="46" t="inlineStr">
        <is>
          <t>Nile Production Support</t>
        </is>
      </c>
      <c r="O198" s="46" t="inlineStr">
        <is>
          <t>Unassigned</t>
        </is>
      </c>
      <c r="P198" s="46" t="inlineStr">
        <is>
          <t>Aryal, Neerajan</t>
        </is>
      </c>
      <c r="Q198" s="46" t="inlineStr">
        <is>
          <t>Resolved</t>
        </is>
      </c>
      <c r="R198" s="47" t="inlineStr">
        <is>
          <t>Fixed the new schema for an extra column files have been delivered successfully. Closing this ticket</t>
        </is>
      </c>
      <c r="S198" s="46" t="inlineStr"/>
      <c r="T198" s="46" t="inlineStr"/>
      <c r="U198" s="46" t="inlineStr"/>
      <c r="V198" s="54" t="inlineStr">
        <is>
          <t>Configuration Issue</t>
        </is>
      </c>
      <c r="W198" s="46" t="inlineStr"/>
    </row>
    <row r="199">
      <c r="A199" s="43" t="inlineStr">
        <is>
          <t>IT-2971684</t>
        </is>
      </c>
      <c r="B199" s="43" t="inlineStr">
        <is>
          <t>IT-2971684</t>
        </is>
      </c>
      <c r="C199" s="43" t="inlineStr"/>
      <c r="D199" s="44" t="inlineStr">
        <is>
          <t>ppm-premera-bluecross-history_professional_claims_GDF2_2_CDF2_2_Slim_Refactoring failure</t>
        </is>
      </c>
      <c r="E199" s="44" t="inlineStr">
        <is>
          <t>Hi, Pipeline ppm-premera-bluecross-history_professional_claims_GDF2_2_CDF2_2_Slim_Refactoring (2023-02-26-18587740) failed due to an unmatched record count. Please investigate:</t>
        </is>
      </c>
      <c r="F199" s="44"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G199" s="44" t="inlineStr">
        <is>
          <t>Received replacement file due to schema issue and processed the latest file from nile.</t>
        </is>
      </c>
      <c r="H199" s="43" t="inlineStr">
        <is>
          <t>Other</t>
        </is>
      </c>
      <c r="I199" s="43" t="inlineStr">
        <is>
          <t>Other</t>
        </is>
      </c>
      <c r="J199" s="43" t="inlineStr"/>
      <c r="K199" s="43" t="inlineStr">
        <is>
          <t>Closed</t>
        </is>
      </c>
      <c r="L199" s="43" t="inlineStr">
        <is>
          <t>2026-04-05</t>
        </is>
      </c>
      <c r="M199" s="43" t="inlineStr">
        <is>
          <t>2026-04-07</t>
        </is>
      </c>
      <c r="N199" s="43" t="inlineStr">
        <is>
          <t>Nile Production Support</t>
        </is>
      </c>
      <c r="O199" s="43" t="inlineStr">
        <is>
          <t>Unassigned</t>
        </is>
      </c>
      <c r="P199" s="43" t="inlineStr">
        <is>
          <t>Jones, Sam [X] (Inactive)</t>
        </is>
      </c>
      <c r="Q199" s="43" t="inlineStr">
        <is>
          <t>Resolved</t>
        </is>
      </c>
      <c r="R199" s="44"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S199" s="43" t="inlineStr"/>
      <c r="T199" s="43" t="inlineStr"/>
      <c r="U199" s="43" t="inlineStr"/>
      <c r="V199" s="62" t="inlineStr">
        <is>
          <t>Pipeline Schedule</t>
        </is>
      </c>
      <c r="W199" s="43" t="inlineStr"/>
    </row>
    <row r="200">
      <c r="A200" s="46" t="inlineStr">
        <is>
          <t>IT-2971217</t>
        </is>
      </c>
      <c r="B200" s="46" t="inlineStr">
        <is>
          <t>IT-2971217</t>
        </is>
      </c>
      <c r="C200" s="46" t="inlineStr"/>
      <c r="D200" s="47" t="inlineStr">
        <is>
          <t>PREBC - TBA PROF &amp; INST files missing - 04/04/2026</t>
        </is>
      </c>
      <c r="E200" s="47" t="inlineStr">
        <is>
          <t>Hi Nile Team, We are missing below files for 04/04/2026. Please check and let us know when we can expect the missing files. prebc_daily_incoming_2 prebc_outpatient_incoming_2</t>
        </is>
      </c>
      <c r="F200" s="47" t="inlineStr">
        <is>
          <t>For Prebc_daily files of data date 04/04 is not expected. For Prebc_daily files of data date 04/04 is not expected. For Prebc_daily files of data date 04/04 is not expected.</t>
        </is>
      </c>
      <c r="G200" s="47" t="inlineStr">
        <is>
          <t>For Prebc_daily files of data date 04/04 is not expected.</t>
        </is>
      </c>
      <c r="H200" s="46" t="inlineStr"/>
      <c r="I200" s="46" t="inlineStr"/>
      <c r="J200" s="46" t="inlineStr"/>
      <c r="K200" s="46" t="inlineStr">
        <is>
          <t>Closed</t>
        </is>
      </c>
      <c r="L200" s="46" t="inlineStr">
        <is>
          <t>2026-04-04</t>
        </is>
      </c>
      <c r="M200" s="46" t="inlineStr">
        <is>
          <t>2026-04-04</t>
        </is>
      </c>
      <c r="N200" s="46" t="inlineStr">
        <is>
          <t>Nile Production Support</t>
        </is>
      </c>
      <c r="O200" s="46" t="inlineStr">
        <is>
          <t>Unassigned</t>
        </is>
      </c>
      <c r="P200" s="46" t="inlineStr">
        <is>
          <t>Gudala, Kumaraswamy</t>
        </is>
      </c>
      <c r="Q200" s="46" t="inlineStr">
        <is>
          <t>Closed</t>
        </is>
      </c>
      <c r="R200" s="47" t="inlineStr">
        <is>
          <t>For Prebc_daily files of data date 04/04 is not expected. For Prebc_daily files of data date 04/04 is not expected. For Prebc_daily files of data date 04/04 is not expected.</t>
        </is>
      </c>
      <c r="S200" s="46" t="inlineStr"/>
      <c r="T200" s="46" t="inlineStr"/>
      <c r="U200" s="46" t="inlineStr"/>
      <c r="V200" s="48" t="inlineStr">
        <is>
          <t>File Missing</t>
        </is>
      </c>
      <c r="W200" s="46" t="inlineStr"/>
    </row>
    <row r="201">
      <c r="A201" s="43" t="inlineStr">
        <is>
          <t>IT-2971213</t>
        </is>
      </c>
      <c r="B201" s="43" t="inlineStr">
        <is>
          <t>IT-2971213</t>
        </is>
      </c>
      <c r="C201" s="43" t="inlineStr"/>
      <c r="D201" s="44" t="inlineStr">
        <is>
          <t>HAIEP - Daily file missing - 04/04/2026</t>
        </is>
      </c>
      <c r="E201" s="44" t="inlineStr">
        <is>
          <t>Hi Nile Team, We are missing the below daily file for 04/04/2026. Please check and let us know when we can expect the missing file. haiep_daily_incoming_*</t>
        </is>
      </c>
      <c r="F201" s="44"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G201" s="44" t="inlineStr">
        <is>
          <t>Hamp client has been terminated. hence, we won't be receiving the files going forward.</t>
        </is>
      </c>
      <c r="H201" s="43" t="inlineStr"/>
      <c r="I201" s="43" t="inlineStr"/>
      <c r="J201" s="43" t="inlineStr"/>
      <c r="K201" s="43" t="inlineStr">
        <is>
          <t>Closed</t>
        </is>
      </c>
      <c r="L201" s="43" t="inlineStr">
        <is>
          <t>2026-04-04</t>
        </is>
      </c>
      <c r="M201" s="43" t="inlineStr">
        <is>
          <t>2026-04-15</t>
        </is>
      </c>
      <c r="N201" s="43" t="inlineStr">
        <is>
          <t>Nile Production Support</t>
        </is>
      </c>
      <c r="O201" s="43" t="inlineStr">
        <is>
          <t>Unassigned</t>
        </is>
      </c>
      <c r="P201" s="43" t="inlineStr">
        <is>
          <t>Gudala, Kumaraswamy</t>
        </is>
      </c>
      <c r="Q201" s="43" t="inlineStr">
        <is>
          <t>Closed</t>
        </is>
      </c>
      <c r="R201" s="44"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S201" s="43" t="inlineStr"/>
      <c r="T201" s="43" t="inlineStr"/>
      <c r="U201" s="43" t="inlineStr"/>
      <c r="V201" s="64" t="inlineStr">
        <is>
          <t>File Missing</t>
        </is>
      </c>
      <c r="W201" s="43" t="inlineStr"/>
    </row>
    <row r="202">
      <c r="A202" s="46" t="inlineStr">
        <is>
          <t>IT-2971212</t>
        </is>
      </c>
      <c r="B202" s="46" t="inlineStr">
        <is>
          <t>IT-2971212</t>
        </is>
      </c>
      <c r="C202" s="46" t="inlineStr"/>
      <c r="D202" s="47" t="inlineStr">
        <is>
          <t>GEIHP - History PROF &amp; INST files missing - 04/04/2026</t>
        </is>
      </c>
      <c r="E202" s="47" t="inlineStr">
        <is>
          <t>Hi Nile Team, We are missing the below History files for 04/04/2026. Please check and let us know when we can expect the missing files. geihp_history_incoming* geihp_ophistory_incoming*</t>
        </is>
      </c>
      <c r="F202" s="47"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G202" s="47" t="inlineStr">
        <is>
          <t>For GEIHP history files, the target files were initially routed to a test location path, due to which the production files could not be delivered. The pipeline has now been corrected with Ravi’s assistance, and the files have been successfully processed.</t>
        </is>
      </c>
      <c r="H202" s="46" t="inlineStr"/>
      <c r="I202" s="46" t="inlineStr"/>
      <c r="J202" s="46" t="inlineStr"/>
      <c r="K202" s="46" t="inlineStr">
        <is>
          <t>Closed</t>
        </is>
      </c>
      <c r="L202" s="46" t="inlineStr">
        <is>
          <t>2026-04-04</t>
        </is>
      </c>
      <c r="M202" s="46" t="inlineStr">
        <is>
          <t>2026-04-05</t>
        </is>
      </c>
      <c r="N202" s="46" t="inlineStr">
        <is>
          <t>Nile Production Support</t>
        </is>
      </c>
      <c r="O202" s="46" t="inlineStr">
        <is>
          <t>Unassigned</t>
        </is>
      </c>
      <c r="P202" s="46" t="inlineStr">
        <is>
          <t>Gudala, Kumaraswamy</t>
        </is>
      </c>
      <c r="Q202" s="46" t="inlineStr">
        <is>
          <t>Closed</t>
        </is>
      </c>
      <c r="R202" s="47"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S202" s="46" t="inlineStr"/>
      <c r="T202" s="46" t="inlineStr"/>
      <c r="U202" s="46" t="inlineStr"/>
      <c r="V202" s="48" t="inlineStr">
        <is>
          <t>File Missing</t>
        </is>
      </c>
      <c r="W202" s="46" t="inlineStr"/>
    </row>
    <row r="203">
      <c r="A203" s="43" t="inlineStr">
        <is>
          <t>IT-2971057</t>
        </is>
      </c>
      <c r="B203" s="43" t="inlineStr">
        <is>
          <t>IT-2971057</t>
        </is>
      </c>
      <c r="C203" s="43" t="inlineStr"/>
      <c r="D203" s="44" t="inlineStr">
        <is>
          <t>Wellmark WELEX History Professional and Institutional files are missing for 04/04/2026,</t>
        </is>
      </c>
      <c r="E203" s="44" t="inlineStr">
        <is>
          <t>Hi Nile Team, Below Wellmark WELEX History Professional and Institutional files are missing for 04/04/2026, please check and let us know when we can expect the files. welex_history_incoming_1 welex_ophistory_incoming_1</t>
        </is>
      </c>
      <c r="F203" s="44" t="inlineStr">
        <is>
          <t>we have processed successfully from Nile side. we successfully processed the pipeline from the nile end.</t>
        </is>
      </c>
      <c r="G203" s="44" t="inlineStr">
        <is>
          <t>we successfully processed the pipeline from the nile end.</t>
        </is>
      </c>
      <c r="H203" s="43" t="inlineStr"/>
      <c r="I203" s="43" t="inlineStr"/>
      <c r="J203" s="43" t="inlineStr"/>
      <c r="K203" s="43" t="inlineStr">
        <is>
          <t>Closed</t>
        </is>
      </c>
      <c r="L203" s="43" t="inlineStr">
        <is>
          <t>2026-04-04</t>
        </is>
      </c>
      <c r="M203" s="43" t="inlineStr">
        <is>
          <t>2026-04-06</t>
        </is>
      </c>
      <c r="N203" s="43" t="inlineStr">
        <is>
          <t>Nile Production Support</t>
        </is>
      </c>
      <c r="O203" s="43" t="inlineStr">
        <is>
          <t>Unassigned</t>
        </is>
      </c>
      <c r="P203" s="43" t="inlineStr">
        <is>
          <t>Shinde, Vijaykumar</t>
        </is>
      </c>
      <c r="Q203" s="43" t="inlineStr">
        <is>
          <t>Closed</t>
        </is>
      </c>
      <c r="R203" s="44" t="inlineStr">
        <is>
          <t>we have processed successfully from Nile side. we successfully processed the pipeline from the nile end.</t>
        </is>
      </c>
      <c r="S203" s="43" t="inlineStr"/>
      <c r="T203" s="43" t="inlineStr"/>
      <c r="U203" s="43" t="inlineStr"/>
      <c r="V203" s="64" t="inlineStr">
        <is>
          <t>File Missing</t>
        </is>
      </c>
      <c r="W203" s="43" t="inlineStr"/>
    </row>
    <row r="204">
      <c r="A204" s="46" t="inlineStr">
        <is>
          <t>IT-2970603</t>
        </is>
      </c>
      <c r="B204" s="46" t="inlineStr">
        <is>
          <t>IT-2970603</t>
        </is>
      </c>
      <c r="C204" s="46" t="inlineStr"/>
      <c r="D204" s="47" t="inlineStr">
        <is>
          <t>Please help us resolve issue with pipeline bcbsnjhorizon_facets_no_touch</t>
        </is>
      </c>
      <c r="E204" s="47" t="inlineStr">
        <is>
          <t>Hi Nile PS Triage team, Would you please take a look at why we’re having issue with the pipeline above when we tried to run it with ingestion date 20240213? Error msg: File /dataingestionprod/restricted/273-bcbsnjhorizon-facets/rawincoming/2023-11-07-64453041/1.1/1/20240213/1 does not exist. The files that this pipeline uses are the same with actian pipeline dm-bcbs_nj-horizon-actian_migration_PassFile_and_bmc_workflow_CHC_BCBS_NJ_WKY_NoTouch_NILE The actian pipeline has all the files needed. In addition to 20240213, we also need to run it for: 20240220 20240227 20240306 20240320 20240327 Thank you in advance for help melly</t>
        </is>
      </c>
      <c r="F204" s="47"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G204" s="47" t="inlineStr">
        <is>
          <t>Files are processed</t>
        </is>
      </c>
      <c r="H204" s="46" t="inlineStr">
        <is>
          <t>Other</t>
        </is>
      </c>
      <c r="I204" s="46" t="inlineStr">
        <is>
          <t>Other</t>
        </is>
      </c>
      <c r="J204" s="46" t="inlineStr"/>
      <c r="K204" s="46" t="inlineStr">
        <is>
          <t>Closed</t>
        </is>
      </c>
      <c r="L204" s="46" t="inlineStr">
        <is>
          <t>2026-04-03</t>
        </is>
      </c>
      <c r="M204" s="46" t="inlineStr">
        <is>
          <t>2026-04-08</t>
        </is>
      </c>
      <c r="N204" s="46" t="inlineStr">
        <is>
          <t>Nile Production Support</t>
        </is>
      </c>
      <c r="O204" s="46" t="inlineStr">
        <is>
          <t>Unassigned</t>
        </is>
      </c>
      <c r="P204" s="46" t="inlineStr">
        <is>
          <t>Suryani, Melly</t>
        </is>
      </c>
      <c r="Q204" s="46" t="inlineStr">
        <is>
          <t>Resolved</t>
        </is>
      </c>
      <c r="R204" s="47"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S204" s="46" t="inlineStr"/>
      <c r="T204" s="46" t="inlineStr"/>
      <c r="U204" s="46" t="inlineStr"/>
      <c r="V204" s="68" t="inlineStr">
        <is>
          <t>Issue Platform</t>
        </is>
      </c>
      <c r="W204" s="46" t="inlineStr"/>
    </row>
    <row r="205">
      <c r="A205" s="43" t="inlineStr">
        <is>
          <t>IT-2970560</t>
        </is>
      </c>
      <c r="B205" s="43" t="inlineStr">
        <is>
          <t>IT-2970560</t>
        </is>
      </c>
      <c r="C205" s="43" t="inlineStr"/>
      <c r="D205" s="44" t="inlineStr">
        <is>
          <t>No Claims in BAZHC</t>
        </is>
      </c>
      <c r="E205" s="44" t="inlineStr">
        <is>
          <t>Refer to https://jiraet.cotiviti.com/browse/IT-2965167 Nile Team - Please check to see if you can see any issues. ------------------------------------------------------------------------------------------------ Have not received any claims in BAZHC and we normally receive claims between 4a and 6a mst each day. ------------------------------------------------------------------------------------------------- File : bazhc_outpatient_incoming_1.04-01-2026_1420 QA Status : PASSED File Run Completed : 04-01-2026_1421 File : bazhc_daily_incoming_1.04-01-2026_1430 QA Status : PASSED File Run Completed : 04-01-2026_1430 File : bazhc_ophistory_incoming_1.04-01-2026_1345 QA Status : PASSED File Run Completed : 04-01-2026_1345 File : bazhc_history_incoming_1.04-01-2026_1350 QA Status : PASSED File Run Completed : 04-01-2026_1350 ------------------------------------------------------------------------------------------- We have now received a batch of 6 claims for 4.1.26. We usually see 100-200 per day</t>
        </is>
      </c>
      <c r="F205" s="44" t="inlineStr">
        <is>
          <t>Hi Edwards, Andrea from Nile Side files are processed properly and we do not have any rejected records also Raw file line counts are matching with output files Thanks Satish Devatha Thank you, Devatha, Satish This ticket can be closed.</t>
        </is>
      </c>
      <c r="G205" s="44" t="inlineStr">
        <is>
          <t>Shared details</t>
        </is>
      </c>
      <c r="H205" s="43" t="inlineStr">
        <is>
          <t>Other</t>
        </is>
      </c>
      <c r="I205" s="43" t="inlineStr">
        <is>
          <t>Other</t>
        </is>
      </c>
      <c r="J205" s="43" t="inlineStr"/>
      <c r="K205" s="43" t="inlineStr">
        <is>
          <t>Closed</t>
        </is>
      </c>
      <c r="L205" s="43" t="inlineStr">
        <is>
          <t>2026-04-03</t>
        </is>
      </c>
      <c r="M205" s="43" t="inlineStr">
        <is>
          <t>2026-04-07</t>
        </is>
      </c>
      <c r="N205" s="43" t="inlineStr">
        <is>
          <t>Nile Production Support</t>
        </is>
      </c>
      <c r="O205" s="43" t="inlineStr">
        <is>
          <t>Unassigned</t>
        </is>
      </c>
      <c r="P205" s="43" t="inlineStr">
        <is>
          <t>Edwards, Andrea</t>
        </is>
      </c>
      <c r="Q205" s="43" t="inlineStr">
        <is>
          <t>Resolved</t>
        </is>
      </c>
      <c r="R205" s="44" t="inlineStr">
        <is>
          <t>Hi Edwards, Andrea from Nile Side files are processed properly and we do not have any rejected records also Raw file line counts are matching with output files Thanks Satish Devatha Thank you, Devatha, Satish This ticket can be closed.</t>
        </is>
      </c>
      <c r="S205" s="43" t="inlineStr"/>
      <c r="T205" s="43" t="inlineStr"/>
      <c r="U205" s="43" t="inlineStr"/>
      <c r="V205" s="64" t="inlineStr">
        <is>
          <t>File Missing</t>
        </is>
      </c>
      <c r="W205" s="43" t="inlineStr"/>
    </row>
    <row r="206">
      <c r="A206" s="46" t="inlineStr">
        <is>
          <t>IT-2970507</t>
        </is>
      </c>
      <c r="B206" s="46" t="inlineStr">
        <is>
          <t>IT-2970507</t>
        </is>
      </c>
      <c r="C206" s="46" t="inlineStr"/>
      <c r="D206" s="47" t="inlineStr">
        <is>
          <t>HAIEP :: haiep_history_incoming_1.04-03-2026_1610 file failure :: 04/03/2026</t>
        </is>
      </c>
      <c r="E206" s="47" t="inlineStr">
        <is>
          <t>The following haiep file failed because the sequence number has already been used. Please look into this. Ticket for this issue: File : haiep_history_incoming_1.04-03-2026_1610 QA Status : FAILED Reason : FAILED- already run Total Lines Processed for Run : 8304 QA Test Name: already_run Pre/Post Run: 0 Result: FAILED- already run HAIEP|H|139|20260403|8304|R ---------------------------------------------------------------------------------------------------- File : haiep_history_incoming_1.03-27-2026_1610 QA Status : PASSED File Run Completed : 03-27-2026_1610 Total Lines Processed for Run : 4178 HAIEP|H|139|20260327|4178|R</t>
        </is>
      </c>
      <c r="F206" s="47"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G206" s="47" t="inlineStr">
        <is>
          <t>Can be closed per Andrea</t>
        </is>
      </c>
      <c r="H206" s="46" t="inlineStr">
        <is>
          <t>Other</t>
        </is>
      </c>
      <c r="I206" s="46" t="inlineStr">
        <is>
          <t>Other</t>
        </is>
      </c>
      <c r="J206" s="46" t="inlineStr"/>
      <c r="K206" s="46" t="inlineStr">
        <is>
          <t>Closed</t>
        </is>
      </c>
      <c r="L206" s="46" t="inlineStr">
        <is>
          <t>2026-04-03</t>
        </is>
      </c>
      <c r="M206" s="46" t="inlineStr">
        <is>
          <t>2026-04-07</t>
        </is>
      </c>
      <c r="N206" s="46" t="inlineStr">
        <is>
          <t>Nile Production Support</t>
        </is>
      </c>
      <c r="O206" s="46" t="inlineStr">
        <is>
          <t>Unassigned</t>
        </is>
      </c>
      <c r="P206" s="46" t="inlineStr">
        <is>
          <t>Edwards, Andrea</t>
        </is>
      </c>
      <c r="Q206" s="46" t="inlineStr">
        <is>
          <t>Resolved</t>
        </is>
      </c>
      <c r="R206" s="47"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S206" s="46" t="inlineStr"/>
      <c r="T206" s="46" t="inlineStr"/>
      <c r="U206" s="46" t="inlineStr"/>
      <c r="V206" s="50" t="inlineStr">
        <is>
          <t>File Issue</t>
        </is>
      </c>
      <c r="W206" s="46" t="inlineStr"/>
    </row>
    <row r="207">
      <c r="A207" s="43" t="inlineStr">
        <is>
          <t>IT-2970242</t>
        </is>
      </c>
      <c r="B207" s="43" t="inlineStr">
        <is>
          <t>IT-2970242</t>
        </is>
      </c>
      <c r="C207" s="43" t="inlineStr"/>
      <c r="D207" s="44" t="inlineStr">
        <is>
          <t>BCBSLA PBM RCA Prod Transition Documents Review</t>
        </is>
      </c>
      <c r="E207" s="44" t="inlineStr">
        <is>
          <t>Please review the prod transition checklist documents for BCBSLA PBM RCA and let us know if any changes are needed. Creating this ticket as a placeholder. Will update ticket with document links once complete.</t>
        </is>
      </c>
      <c r="F207" s="44"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G207" s="44" t="inlineStr">
        <is>
          <t>Transition completed.</t>
        </is>
      </c>
      <c r="H207" s="43" t="inlineStr">
        <is>
          <t>Other</t>
        </is>
      </c>
      <c r="I207" s="43" t="inlineStr">
        <is>
          <t>Other</t>
        </is>
      </c>
      <c r="J207" s="43" t="inlineStr"/>
      <c r="K207" s="43" t="inlineStr">
        <is>
          <t>Closed</t>
        </is>
      </c>
      <c r="L207" s="43" t="inlineStr">
        <is>
          <t>2026-04-03</t>
        </is>
      </c>
      <c r="M207" s="43" t="inlineStr">
        <is>
          <t>2026-04-23</t>
        </is>
      </c>
      <c r="N207" s="43" t="inlineStr">
        <is>
          <t>Nile Production Support</t>
        </is>
      </c>
      <c r="O207" s="43" t="inlineStr">
        <is>
          <t>Unassigned</t>
        </is>
      </c>
      <c r="P207" s="43" t="inlineStr">
        <is>
          <t>Malmgren, Natalie</t>
        </is>
      </c>
      <c r="Q207" s="43" t="inlineStr">
        <is>
          <t>Resolved</t>
        </is>
      </c>
      <c r="R207" s="44"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S207" s="43" t="inlineStr"/>
      <c r="T207" s="43" t="inlineStr"/>
      <c r="U207" s="43" t="inlineStr"/>
      <c r="V207" s="58" t="inlineStr">
        <is>
          <t>Other</t>
        </is>
      </c>
      <c r="W207" s="43" t="inlineStr">
        <is>
          <t>Yes</t>
        </is>
      </c>
    </row>
    <row r="208">
      <c r="A208" s="46" t="inlineStr">
        <is>
          <t>IT-2970073</t>
        </is>
      </c>
      <c r="B208" s="46" t="inlineStr">
        <is>
          <t>IT-2970073</t>
        </is>
      </c>
      <c r="C208" s="46" t="inlineStr"/>
      <c r="D208" s="47" t="inlineStr">
        <is>
          <t>Please fix Kaiser-wa BMC pipeline</t>
        </is>
      </c>
      <c r="E208" s="47" t="inlineStr">
        <is>
          <t>please fix trigger_bmc_workflow-kaiser_wa_monthly as it is not schedule</t>
        </is>
      </c>
      <c r="F208" s="47" t="inlineStr">
        <is>
          <t>Fixed pre-check, publish child pipelines, and scheduled will ask Easley, Keaton to monitor</t>
        </is>
      </c>
      <c r="G208" s="47" t="inlineStr">
        <is>
          <t>Fixed pre-check, publish child pipelines, and scheduled</t>
        </is>
      </c>
      <c r="H208" s="46" t="inlineStr">
        <is>
          <t>Other</t>
        </is>
      </c>
      <c r="I208" s="46" t="inlineStr">
        <is>
          <t>Other</t>
        </is>
      </c>
      <c r="J208" s="46" t="inlineStr"/>
      <c r="K208" s="46" t="inlineStr">
        <is>
          <t>Closed</t>
        </is>
      </c>
      <c r="L208" s="46" t="inlineStr">
        <is>
          <t>2026-04-03</t>
        </is>
      </c>
      <c r="M208" s="46" t="inlineStr">
        <is>
          <t>2026-04-16</t>
        </is>
      </c>
      <c r="N208" s="46" t="inlineStr">
        <is>
          <t>Nile Production Support</t>
        </is>
      </c>
      <c r="O208" s="46" t="inlineStr">
        <is>
          <t>Unassigned</t>
        </is>
      </c>
      <c r="P208" s="46" t="inlineStr">
        <is>
          <t>Kabeya, Joel</t>
        </is>
      </c>
      <c r="Q208" s="46" t="inlineStr">
        <is>
          <t>Resolved</t>
        </is>
      </c>
      <c r="R208" s="47" t="inlineStr">
        <is>
          <t>Fixed pre-check, publish child pipelines, and scheduled will ask Easley, Keaton to monitor</t>
        </is>
      </c>
      <c r="S208" s="46" t="inlineStr"/>
      <c r="T208" s="46" t="inlineStr"/>
      <c r="U208" s="46" t="inlineStr"/>
      <c r="V208" s="57" t="inlineStr">
        <is>
          <t>Other</t>
        </is>
      </c>
      <c r="W208" s="46" t="inlineStr">
        <is>
          <t>Yes</t>
        </is>
      </c>
    </row>
    <row r="209">
      <c r="A209" s="43" t="inlineStr">
        <is>
          <t>IT-2970071</t>
        </is>
      </c>
      <c r="B209" s="43" t="inlineStr">
        <is>
          <t>IT-2970071</t>
        </is>
      </c>
      <c r="C209" s="43" t="inlineStr"/>
      <c r="D209" s="44" t="inlineStr">
        <is>
          <t>please fix BCBS_MI-MedAdv BMC Pipeline</t>
        </is>
      </c>
      <c r="E209" s="44" t="inlineStr">
        <is>
          <t>please fix trigger_bmc_workflow-bcbs_mi_medadv_monthly bmc pipelines as it is not reflecting the latest child pipeline</t>
        </is>
      </c>
      <c r="F209" s="44" t="inlineStr">
        <is>
          <t>new pipeline created, scheduled pipeline, edited prechecks and made sure "pare" pipelines are all published</t>
        </is>
      </c>
      <c r="G209" s="44" t="inlineStr">
        <is>
          <t>Pipeline -- created a new version, changed to make pre checks work and made sure all calling pipelines are configured accordingly</t>
        </is>
      </c>
      <c r="H209" s="43" t="inlineStr">
        <is>
          <t>Other</t>
        </is>
      </c>
      <c r="I209" s="43" t="inlineStr">
        <is>
          <t>Other</t>
        </is>
      </c>
      <c r="J209" s="43" t="inlineStr"/>
      <c r="K209" s="43" t="inlineStr">
        <is>
          <t>Closed</t>
        </is>
      </c>
      <c r="L209" s="43" t="inlineStr">
        <is>
          <t>2026-04-03</t>
        </is>
      </c>
      <c r="M209" s="43" t="inlineStr">
        <is>
          <t>2026-04-24</t>
        </is>
      </c>
      <c r="N209" s="43" t="inlineStr">
        <is>
          <t>Nile Production Support</t>
        </is>
      </c>
      <c r="O209" s="43" t="inlineStr">
        <is>
          <t>Unassigned</t>
        </is>
      </c>
      <c r="P209" s="43" t="inlineStr">
        <is>
          <t>Kabeya, Joel</t>
        </is>
      </c>
      <c r="Q209" s="43" t="inlineStr">
        <is>
          <t>Resolved</t>
        </is>
      </c>
      <c r="R209" s="44" t="inlineStr">
        <is>
          <t>new pipeline created, scheduled pipeline, edited prechecks and made sure "pare" pipelines are all published</t>
        </is>
      </c>
      <c r="S209" s="43" t="inlineStr"/>
      <c r="T209" s="43" t="inlineStr"/>
      <c r="U209" s="43" t="inlineStr"/>
      <c r="V209" s="62" t="inlineStr">
        <is>
          <t>Pipeline Schedule</t>
        </is>
      </c>
      <c r="W209" s="43" t="inlineStr"/>
    </row>
    <row r="210">
      <c r="A210" s="46" t="inlineStr">
        <is>
          <t>IT-2969877</t>
        </is>
      </c>
      <c r="B210" s="46" t="inlineStr">
        <is>
          <t>IT-2969877</t>
        </is>
      </c>
      <c r="C210" s="46" t="inlineStr"/>
      <c r="D210" s="47" t="inlineStr">
        <is>
          <t>Copy files From Nile Prod Raw path to Nile QC Raw path - UHC-CSP</t>
        </is>
      </c>
      <c r="E210" s="47"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F210" s="47"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G210" s="47" t="inlineStr">
        <is>
          <t>all data copied as requested and verified.</t>
        </is>
      </c>
      <c r="H210" s="46" t="inlineStr">
        <is>
          <t>Other</t>
        </is>
      </c>
      <c r="I210" s="46" t="inlineStr">
        <is>
          <t>Other</t>
        </is>
      </c>
      <c r="J210" s="46" t="inlineStr"/>
      <c r="K210" s="46" t="inlineStr">
        <is>
          <t>Closed</t>
        </is>
      </c>
      <c r="L210" s="46" t="inlineStr">
        <is>
          <t>2026-04-03</t>
        </is>
      </c>
      <c r="M210" s="46" t="inlineStr">
        <is>
          <t>2026-04-03</t>
        </is>
      </c>
      <c r="N210" s="46" t="inlineStr">
        <is>
          <t>Nile Production Support</t>
        </is>
      </c>
      <c r="O210" s="46" t="inlineStr">
        <is>
          <t>Unassigned</t>
        </is>
      </c>
      <c r="P210" s="46" t="inlineStr">
        <is>
          <t>Pati, Jagadeesh Chandra</t>
        </is>
      </c>
      <c r="Q210" s="46" t="inlineStr">
        <is>
          <t>Resolved</t>
        </is>
      </c>
      <c r="R210" s="47"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S210" s="46" t="inlineStr"/>
      <c r="T210" s="46" t="inlineStr"/>
      <c r="U210" s="46" t="inlineStr"/>
      <c r="V210" s="57" t="inlineStr">
        <is>
          <t>Other</t>
        </is>
      </c>
      <c r="W210" s="46" t="inlineStr">
        <is>
          <t>Yes</t>
        </is>
      </c>
    </row>
    <row r="211">
      <c r="A211" s="43" t="inlineStr">
        <is>
          <t>IT-2969463</t>
        </is>
      </c>
      <c r="B211" s="43" t="inlineStr">
        <is>
          <t>IT-2969463</t>
        </is>
      </c>
      <c r="C211" s="43" t="inlineStr"/>
      <c r="D211" s="44" t="inlineStr">
        <is>
          <t>HCSCG : History PROF and INSTI files missing : 04/02/2026</t>
        </is>
      </c>
      <c r="E211" s="44" t="inlineStr">
        <is>
          <t>Hi Nile Team, We are missing HCSCG History Professional and Institutional for 04/02 scheduled at 9 PM EST, So please check and provide us an update. hcscg_history_incoming_1 hcscg_ophistory_incoming_1</t>
        </is>
      </c>
      <c r="F211" s="44" t="inlineStr">
        <is>
          <t>Send an escalation missing file email to client: Missing Files: hcscg history 20260402 (Amik). No file per client:</t>
        </is>
      </c>
      <c r="G211" s="44" t="inlineStr">
        <is>
          <t>no file per client</t>
        </is>
      </c>
      <c r="H211" s="43" t="inlineStr"/>
      <c r="I211" s="43" t="inlineStr"/>
      <c r="J211" s="43" t="inlineStr"/>
      <c r="K211" s="43" t="inlineStr">
        <is>
          <t>Closed</t>
        </is>
      </c>
      <c r="L211" s="43" t="inlineStr">
        <is>
          <t>2026-04-03</t>
        </is>
      </c>
      <c r="M211" s="43" t="inlineStr">
        <is>
          <t>2026-04-08</t>
        </is>
      </c>
      <c r="N211" s="43" t="inlineStr">
        <is>
          <t>Nile Production Support</t>
        </is>
      </c>
      <c r="O211" s="43" t="inlineStr">
        <is>
          <t>Unassigned</t>
        </is>
      </c>
      <c r="P211" s="43" t="inlineStr">
        <is>
          <t>Shinde, Vijaykumar</t>
        </is>
      </c>
      <c r="Q211" s="43" t="inlineStr">
        <is>
          <t>Closed</t>
        </is>
      </c>
      <c r="R211" s="44" t="inlineStr">
        <is>
          <t>Send an escalation missing file email to client: Missing Files: hcscg history 20260402 (Amik). No file per client:</t>
        </is>
      </c>
      <c r="S211" s="43" t="inlineStr"/>
      <c r="T211" s="43" t="inlineStr"/>
      <c r="U211" s="43" t="inlineStr"/>
      <c r="V211" s="64" t="inlineStr">
        <is>
          <t>File Missing</t>
        </is>
      </c>
      <c r="W211" s="43" t="inlineStr"/>
    </row>
    <row r="212">
      <c r="A212" s="46" t="inlineStr">
        <is>
          <t>IT-2969243</t>
        </is>
      </c>
      <c r="B212" s="46" t="inlineStr">
        <is>
          <t>IT-2969243</t>
        </is>
      </c>
      <c r="C212" s="46" t="inlineStr"/>
      <c r="D212" s="47" t="inlineStr">
        <is>
          <t>Data copy Request</t>
        </is>
      </c>
      <c r="E212" s="47" t="inlineStr">
        <is>
          <t>Hello Devatha, Satish , I kindly request you to copy the latest ingestion-date data files for Premera history to the dev environment to test the pipelines built using the new PPM template. Thank You.</t>
        </is>
      </c>
      <c r="F212" s="47"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G212" s="47" t="inlineStr">
        <is>
          <t>Data Copied</t>
        </is>
      </c>
      <c r="H212" s="46" t="inlineStr">
        <is>
          <t>Other</t>
        </is>
      </c>
      <c r="I212" s="46" t="inlineStr">
        <is>
          <t>Other</t>
        </is>
      </c>
      <c r="J212" s="46" t="inlineStr"/>
      <c r="K212" s="46" t="inlineStr">
        <is>
          <t>Closed</t>
        </is>
      </c>
      <c r="L212" s="46" t="inlineStr">
        <is>
          <t>2026-04-03</t>
        </is>
      </c>
      <c r="M212" s="46" t="inlineStr">
        <is>
          <t>2026-04-03</t>
        </is>
      </c>
      <c r="N212" s="46" t="inlineStr">
        <is>
          <t>Nile Production Support</t>
        </is>
      </c>
      <c r="O212" s="46" t="inlineStr">
        <is>
          <t>Unassigned</t>
        </is>
      </c>
      <c r="P212" s="46" t="inlineStr">
        <is>
          <t>Karakavalasa, SriVarshini</t>
        </is>
      </c>
      <c r="Q212" s="46" t="inlineStr">
        <is>
          <t>Resolved</t>
        </is>
      </c>
      <c r="R212" s="47"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S212" s="46" t="inlineStr"/>
      <c r="T212" s="46" t="inlineStr"/>
      <c r="U212" s="46" t="inlineStr"/>
      <c r="V212" s="57" t="inlineStr">
        <is>
          <t>Other</t>
        </is>
      </c>
      <c r="W212" s="46" t="inlineStr">
        <is>
          <t>Yes</t>
        </is>
      </c>
    </row>
    <row r="213">
      <c r="A213" s="43" t="inlineStr">
        <is>
          <t>IT-2969231</t>
        </is>
      </c>
      <c r="B213" s="43" t="inlineStr">
        <is>
          <t>IT-2969231</t>
        </is>
      </c>
      <c r="C213" s="43" t="inlineStr"/>
      <c r="D213" s="44" t="inlineStr">
        <is>
          <t>Skip Aetna Hrp Payment pipeline for 03/23 Data Date.</t>
        </is>
      </c>
      <c r="E213" s="44" t="inlineStr">
        <is>
          <t>Skip Aetna Hrp Payment pipeline for 03/23 Data Date.</t>
        </is>
      </c>
      <c r="F213" s="44" t="inlineStr"/>
      <c r="G213" s="44" t="inlineStr">
        <is>
          <t>Ingestion Date Skipped 03/23.</t>
        </is>
      </c>
      <c r="H213" s="43" t="inlineStr">
        <is>
          <t>Other</t>
        </is>
      </c>
      <c r="I213" s="43" t="inlineStr">
        <is>
          <t>Other</t>
        </is>
      </c>
      <c r="J213" s="43" t="inlineStr"/>
      <c r="K213" s="43" t="inlineStr">
        <is>
          <t>Closed</t>
        </is>
      </c>
      <c r="L213" s="43" t="inlineStr">
        <is>
          <t>2026-04-03</t>
        </is>
      </c>
      <c r="M213" s="43" t="inlineStr">
        <is>
          <t>2026-04-03</t>
        </is>
      </c>
      <c r="N213" s="43" t="inlineStr">
        <is>
          <t>Nile Production Support</t>
        </is>
      </c>
      <c r="O213" s="43" t="inlineStr">
        <is>
          <t>Unassigned</t>
        </is>
      </c>
      <c r="P213" s="43" t="inlineStr">
        <is>
          <t>Aryal, Neerajan</t>
        </is>
      </c>
      <c r="Q213" s="43" t="inlineStr">
        <is>
          <t>Resolved</t>
        </is>
      </c>
      <c r="R213" s="44" t="inlineStr"/>
      <c r="S213" s="43" t="inlineStr"/>
      <c r="T213" s="43" t="inlineStr"/>
      <c r="U213" s="43" t="inlineStr"/>
      <c r="V213" s="49" t="inlineStr">
        <is>
          <t>Configuration Issue</t>
        </is>
      </c>
      <c r="W213" s="43" t="inlineStr"/>
    </row>
    <row r="214">
      <c r="A214" s="46" t="inlineStr">
        <is>
          <t>IT-2969193</t>
        </is>
      </c>
      <c r="B214" s="46" t="inlineStr">
        <is>
          <t>IT-2969193</t>
        </is>
      </c>
      <c r="C214" s="46" t="inlineStr"/>
      <c r="D214" s="47" t="inlineStr">
        <is>
          <t>dm-bcbs_ma_bcbs_ma-actian_migration_caqh_and_bmc_workflow_CHC_BCBS_MA_ADH_CAQH_Load_NILE - "the pipeline didn't pick the 2026/03/27 file"</t>
        </is>
      </c>
      <c r="E214" s="47" t="inlineStr">
        <is>
          <t>Pipeline Name: dm-bcbs_ma_bcbs_ma-actian_migration_caqh_and_bmc_workflow_CHC_BCBS_MA_ADH_CAQH_Load_NILE Description: The 2026/03/27 dated file is available in spooler However, the pipeline didn't pick the file.</t>
        </is>
      </c>
      <c r="F214" s="47" t="inlineStr">
        <is>
          <t>filename pattern changed, pipeline ran successfully now.</t>
        </is>
      </c>
      <c r="G214" s="47" t="inlineStr">
        <is>
          <t>filename pattern changed, pipeline ran successfully now.</t>
        </is>
      </c>
      <c r="H214" s="46" t="inlineStr">
        <is>
          <t>Other</t>
        </is>
      </c>
      <c r="I214" s="46" t="inlineStr">
        <is>
          <t>Other</t>
        </is>
      </c>
      <c r="J214" s="46" t="inlineStr"/>
      <c r="K214" s="46" t="inlineStr">
        <is>
          <t>Closed</t>
        </is>
      </c>
      <c r="L214" s="46" t="inlineStr">
        <is>
          <t>2026-04-03</t>
        </is>
      </c>
      <c r="M214" s="46" t="inlineStr">
        <is>
          <t>2026-04-03</t>
        </is>
      </c>
      <c r="N214" s="46" t="inlineStr">
        <is>
          <t>Nile Production Support</t>
        </is>
      </c>
      <c r="O214" s="46" t="inlineStr">
        <is>
          <t>Unassigned</t>
        </is>
      </c>
      <c r="P214" s="46" t="inlineStr">
        <is>
          <t>Limbu, Sajan</t>
        </is>
      </c>
      <c r="Q214" s="46" t="inlineStr">
        <is>
          <t>Resolved</t>
        </is>
      </c>
      <c r="R214" s="47" t="inlineStr">
        <is>
          <t>filename pattern changed, pipeline ran successfully now.</t>
        </is>
      </c>
      <c r="S214" s="46" t="inlineStr"/>
      <c r="T214" s="46" t="inlineStr"/>
      <c r="U214" s="46" t="inlineStr"/>
      <c r="V214" s="50" t="inlineStr">
        <is>
          <t>File Issue</t>
        </is>
      </c>
      <c r="W214" s="46" t="inlineStr"/>
    </row>
    <row r="215">
      <c r="A215" s="43" t="inlineStr">
        <is>
          <t>IT-2969107</t>
        </is>
      </c>
      <c r="B215" s="43" t="inlineStr">
        <is>
          <t>IT-2969107</t>
        </is>
      </c>
      <c r="C215" s="43" t="inlineStr"/>
      <c r="D215" s="44" t="inlineStr">
        <is>
          <t>fwa-BCBSND-OSCAR_member_GDF2_3 (ingestion date 3/11)</t>
        </is>
      </c>
      <c r="E215" s="44" t="inlineStr">
        <is>
          <t>One of the member files, bcsnd_memberenrollment_incoming_20260311_1.txt.pgp ; Originally came on 3/11, and then we respooled a replacement on 3/30, but it seems we still have issue after that.</t>
        </is>
      </c>
      <c r="F215" s="44" t="inlineStr">
        <is>
          <t>fwa-BCBSND-OSCAR_member_GDF2_3 version 1.1 was created and fixed the loading issuees.</t>
        </is>
      </c>
      <c r="G215" s="44" t="inlineStr">
        <is>
          <t>Files were delivered successfully after new pipeline was created</t>
        </is>
      </c>
      <c r="H215" s="43" t="inlineStr">
        <is>
          <t>Other</t>
        </is>
      </c>
      <c r="I215" s="43" t="inlineStr">
        <is>
          <t>Other</t>
        </is>
      </c>
      <c r="J215" s="43" t="inlineStr"/>
      <c r="K215" s="43" t="inlineStr">
        <is>
          <t>Closed</t>
        </is>
      </c>
      <c r="L215" s="43" t="inlineStr">
        <is>
          <t>2026-04-03</t>
        </is>
      </c>
      <c r="M215" s="43" t="inlineStr">
        <is>
          <t>2026-04-08</t>
        </is>
      </c>
      <c r="N215" s="43" t="inlineStr">
        <is>
          <t>Nile Production Support</t>
        </is>
      </c>
      <c r="O215" s="43" t="inlineStr">
        <is>
          <t>Unassigned</t>
        </is>
      </c>
      <c r="P215" s="43" t="inlineStr">
        <is>
          <t>Limbu, Sajan</t>
        </is>
      </c>
      <c r="Q215" s="43" t="inlineStr">
        <is>
          <t>Resolved</t>
        </is>
      </c>
      <c r="R215" s="44" t="inlineStr">
        <is>
          <t>fwa-BCBSND-OSCAR_member_GDF2_3 version 1.1 was created and fixed the loading issuees.</t>
        </is>
      </c>
      <c r="S215" s="43" t="inlineStr"/>
      <c r="T215" s="43" t="inlineStr"/>
      <c r="U215" s="43" t="inlineStr"/>
      <c r="V215" s="56" t="inlineStr">
        <is>
          <t>Spooler issue</t>
        </is>
      </c>
      <c r="W215" s="43" t="inlineStr"/>
    </row>
    <row r="216">
      <c r="A216" s="46" t="inlineStr">
        <is>
          <t>IT-2968498</t>
        </is>
      </c>
      <c r="B216" s="46" t="inlineStr">
        <is>
          <t>IT-2968498</t>
        </is>
      </c>
      <c r="C216" s="46" t="inlineStr"/>
      <c r="D216" s="47" t="inlineStr">
        <is>
          <t>Production spooler update</t>
        </is>
      </c>
      <c r="E216" s="47" t="inlineStr">
        <is>
          <t>Hi Team, Could you please help with Production spooler file name update. CSM team has confirmed that the file naming format of LOB file is line_of_business_YYYYMMDD.csv. Client feed : Wellcare - Wellcare Spooler name : Wellcare-LOB Could you please change the source file name pattern as : line_of_business_* Thanks, Shilpa Anna</t>
        </is>
      </c>
      <c r="F216" s="47" t="inlineStr">
        <is>
          <t>Hi Varghese, Shilpa Anna , Updated the filename pattern to line_of_business_*.csv Let me know if anything needed.</t>
        </is>
      </c>
      <c r="G216" s="47" t="inlineStr">
        <is>
          <t>Updated the filename pattern in spooler.</t>
        </is>
      </c>
      <c r="H216" s="46" t="inlineStr">
        <is>
          <t>Other</t>
        </is>
      </c>
      <c r="I216" s="46" t="inlineStr">
        <is>
          <t>Other</t>
        </is>
      </c>
      <c r="J216" s="46" t="inlineStr"/>
      <c r="K216" s="46" t="inlineStr">
        <is>
          <t>Closed</t>
        </is>
      </c>
      <c r="L216" s="46" t="inlineStr">
        <is>
          <t>2026-04-02</t>
        </is>
      </c>
      <c r="M216" s="46" t="inlineStr">
        <is>
          <t>2026-04-05</t>
        </is>
      </c>
      <c r="N216" s="46" t="inlineStr">
        <is>
          <t>Nile Production Support</t>
        </is>
      </c>
      <c r="O216" s="46" t="inlineStr">
        <is>
          <t>Unassigned</t>
        </is>
      </c>
      <c r="P216" s="46" t="inlineStr">
        <is>
          <t>Varghese, Shilpa Anna</t>
        </is>
      </c>
      <c r="Q216" s="46" t="inlineStr">
        <is>
          <t>Resolved</t>
        </is>
      </c>
      <c r="R216" s="47" t="inlineStr">
        <is>
          <t>Hi Varghese, Shilpa Anna , Updated the filename pattern to line_of_business_*.csv Let me know if anything needed.</t>
        </is>
      </c>
      <c r="S216" s="46" t="inlineStr"/>
      <c r="T216" s="46" t="inlineStr"/>
      <c r="U216" s="46" t="inlineStr"/>
      <c r="V216" s="61" t="inlineStr">
        <is>
          <t>Spooler issue</t>
        </is>
      </c>
      <c r="W216" s="46" t="inlineStr"/>
    </row>
    <row r="217">
      <c r="A217" s="43" t="inlineStr">
        <is>
          <t>IT-2968200</t>
        </is>
      </c>
      <c r="B217" s="43" t="inlineStr">
        <is>
          <t>IT-2968200</t>
        </is>
      </c>
      <c r="C217" s="43" t="inlineStr"/>
      <c r="D217" s="44" t="inlineStr">
        <is>
          <t>Cannot locate claim for BCBSAZ</t>
        </is>
      </c>
      <c r="E217" s="44" t="inlineStr">
        <is>
          <t>Hi, Could you let me know what file claim 25321E03401or A25321E03401 is located in or if we have received it for HAZMD (stream BAZHC)? The client is trying to open an appeal but cannot locate the claim. Thanks,</t>
        </is>
      </c>
      <c r="F217" s="44"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G217" s="44" t="inlineStr">
        <is>
          <t>Provided the necessary analysis for end user and confirmed they have everything they need</t>
        </is>
      </c>
      <c r="H217" s="43" t="inlineStr"/>
      <c r="I217" s="43" t="inlineStr"/>
      <c r="J217" s="43" t="inlineStr"/>
      <c r="K217" s="43" t="inlineStr">
        <is>
          <t>Closed</t>
        </is>
      </c>
      <c r="L217" s="43" t="inlineStr">
        <is>
          <t>2026-04-02</t>
        </is>
      </c>
      <c r="M217" s="43" t="inlineStr">
        <is>
          <t>2026-04-09</t>
        </is>
      </c>
      <c r="N217" s="43" t="inlineStr">
        <is>
          <t>Nile Production Support</t>
        </is>
      </c>
      <c r="O217" s="43" t="inlineStr">
        <is>
          <t>Unassigned</t>
        </is>
      </c>
      <c r="P217" s="43" t="inlineStr">
        <is>
          <t>Greene, Haley</t>
        </is>
      </c>
      <c r="Q217" s="43" t="inlineStr">
        <is>
          <t>Closed</t>
        </is>
      </c>
      <c r="R217" s="44"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S217" s="43" t="inlineStr"/>
      <c r="T217" s="43" t="inlineStr"/>
      <c r="U217" s="43" t="inlineStr"/>
      <c r="V217" s="58" t="inlineStr">
        <is>
          <t>Other</t>
        </is>
      </c>
      <c r="W217" s="43" t="inlineStr">
        <is>
          <t>Yes</t>
        </is>
      </c>
    </row>
    <row r="218">
      <c r="A218" s="46" t="inlineStr">
        <is>
          <t>IT-2967657</t>
        </is>
      </c>
      <c r="B218" s="46" t="inlineStr">
        <is>
          <t>IT-2967657</t>
        </is>
      </c>
      <c r="C218" s="46" t="inlineStr"/>
      <c r="D218" s="47" t="inlineStr">
        <is>
          <t>Aetna MCD CAQH-Request to include new Region</t>
        </is>
      </c>
      <c r="E218" s="47"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F218" s="47"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G218" s="47" t="inlineStr">
        <is>
          <t>new file pattern is now being saved after added to mcd files</t>
        </is>
      </c>
      <c r="H218" s="46" t="inlineStr">
        <is>
          <t>Other</t>
        </is>
      </c>
      <c r="I218" s="46" t="inlineStr">
        <is>
          <t>Other</t>
        </is>
      </c>
      <c r="J218" s="46" t="inlineStr"/>
      <c r="K218" s="46" t="inlineStr">
        <is>
          <t>Closed</t>
        </is>
      </c>
      <c r="L218" s="46" t="inlineStr">
        <is>
          <t>2026-04-02</t>
        </is>
      </c>
      <c r="M218" s="46" t="inlineStr">
        <is>
          <t>2026-04-11</t>
        </is>
      </c>
      <c r="N218" s="46" t="inlineStr">
        <is>
          <t>Nile Production Support</t>
        </is>
      </c>
      <c r="O218" s="46" t="inlineStr">
        <is>
          <t>Unassigned</t>
        </is>
      </c>
      <c r="P218" s="46" t="inlineStr">
        <is>
          <t>Vandanath, Teena</t>
        </is>
      </c>
      <c r="Q218" s="46" t="inlineStr">
        <is>
          <t>Resolved</t>
        </is>
      </c>
      <c r="R218" s="47"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S218" s="46" t="inlineStr"/>
      <c r="T218" s="46" t="inlineStr"/>
      <c r="U218" s="46" t="inlineStr"/>
      <c r="V218" s="55" t="inlineStr">
        <is>
          <t>Data Issue</t>
        </is>
      </c>
      <c r="W218" s="46" t="inlineStr"/>
    </row>
    <row r="219">
      <c r="A219" s="43" t="inlineStr">
        <is>
          <t>IT-2967631</t>
        </is>
      </c>
      <c r="B219" s="43" t="inlineStr">
        <is>
          <t>IT-2967631</t>
        </is>
      </c>
      <c r="C219" s="43" t="inlineStr"/>
      <c r="D219" s="44" t="inlineStr">
        <is>
          <t>Please Run These Medical Codes Library Quarterly Pipelines</t>
        </is>
      </c>
      <c r="E219" s="44" t="inlineStr">
        <is>
          <t>Hello, Nile Team. Please run the MCL quarterly pipelines. The pipelines and their source file locations are contained in the attached Excel document. There are 37 pipelines that need to be run. Please let me know if you have any questions. Thanks. Mike</t>
        </is>
      </c>
      <c r="F219" s="44"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G219" s="44" t="inlineStr">
        <is>
          <t>Successfully loaded all the files to target tables. Got confirmation from user to close the ticket.</t>
        </is>
      </c>
      <c r="H219" s="43" t="inlineStr">
        <is>
          <t>Other</t>
        </is>
      </c>
      <c r="I219" s="43" t="inlineStr">
        <is>
          <t>Other</t>
        </is>
      </c>
      <c r="J219" s="43" t="inlineStr"/>
      <c r="K219" s="43" t="inlineStr">
        <is>
          <t>Closed</t>
        </is>
      </c>
      <c r="L219" s="43" t="inlineStr">
        <is>
          <t>2026-04-02</t>
        </is>
      </c>
      <c r="M219" s="43" t="inlineStr">
        <is>
          <t>2026-04-17</t>
        </is>
      </c>
      <c r="N219" s="43" t="inlineStr">
        <is>
          <t>Nile Production Support</t>
        </is>
      </c>
      <c r="O219" s="43" t="inlineStr">
        <is>
          <t>Unassigned</t>
        </is>
      </c>
      <c r="P219" s="43" t="inlineStr">
        <is>
          <t>Deynarian, Michael</t>
        </is>
      </c>
      <c r="Q219" s="43" t="inlineStr">
        <is>
          <t>Resolved</t>
        </is>
      </c>
      <c r="R219" s="44"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S219" s="43" t="inlineStr"/>
      <c r="T219" s="43" t="inlineStr"/>
      <c r="U219" s="43" t="inlineStr"/>
      <c r="V219" s="58" t="inlineStr">
        <is>
          <t>Other</t>
        </is>
      </c>
      <c r="W219" s="43" t="inlineStr">
        <is>
          <t>Yes</t>
        </is>
      </c>
    </row>
    <row r="220">
      <c r="A220" s="46" t="inlineStr">
        <is>
          <t>IT-2967594</t>
        </is>
      </c>
      <c r="B220" s="46" t="inlineStr">
        <is>
          <t>IT-2967594</t>
        </is>
      </c>
      <c r="C220" s="46" t="inlineStr"/>
      <c r="D220" s="47" t="inlineStr">
        <is>
          <t>Aetna MCD- Request to separate out the HEW files</t>
        </is>
      </c>
      <c r="E220" s="47"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F220" s="47" t="inlineStr">
        <is>
          <t>4Q25 file only reprocessing with 20260331 datadate. pipeline is running for 20260331 datadte for 4Q25 file. Nile processed both 4Q25 and 1Q26 files Thanks Satish Devatha</t>
        </is>
      </c>
      <c r="G220" s="47" t="inlineStr">
        <is>
          <t>Nile processed both 4Q25 and 1Q26 files</t>
        </is>
      </c>
      <c r="H220" s="46" t="inlineStr">
        <is>
          <t>Other</t>
        </is>
      </c>
      <c r="I220" s="46" t="inlineStr">
        <is>
          <t>Other</t>
        </is>
      </c>
      <c r="J220" s="46" t="inlineStr"/>
      <c r="K220" s="46" t="inlineStr">
        <is>
          <t>Closed</t>
        </is>
      </c>
      <c r="L220" s="46" t="inlineStr">
        <is>
          <t>2026-04-02</t>
        </is>
      </c>
      <c r="M220" s="46" t="inlineStr">
        <is>
          <t>2026-04-02</t>
        </is>
      </c>
      <c r="N220" s="46" t="inlineStr">
        <is>
          <t>Nile Production Support</t>
        </is>
      </c>
      <c r="O220" s="46" t="inlineStr">
        <is>
          <t>Unassigned</t>
        </is>
      </c>
      <c r="P220" s="46" t="inlineStr">
        <is>
          <t>Vandanath, Teena</t>
        </is>
      </c>
      <c r="Q220" s="46" t="inlineStr">
        <is>
          <t>Resolved</t>
        </is>
      </c>
      <c r="R220" s="47" t="inlineStr">
        <is>
          <t>4Q25 file only reprocessing with 20260331 datadate. pipeline is running for 20260331 datadte for 4Q25 file. Nile processed both 4Q25 and 1Q26 files Thanks Satish Devatha</t>
        </is>
      </c>
      <c r="S220" s="46" t="inlineStr"/>
      <c r="T220" s="46" t="inlineStr"/>
      <c r="U220" s="46" t="inlineStr"/>
      <c r="V220" s="57" t="inlineStr">
        <is>
          <t>Other</t>
        </is>
      </c>
      <c r="W220" s="46" t="inlineStr">
        <is>
          <t>Yes</t>
        </is>
      </c>
    </row>
    <row r="221">
      <c r="A221" s="43" t="inlineStr">
        <is>
          <t>IT-2966966</t>
        </is>
      </c>
      <c r="B221" s="43" t="inlineStr">
        <is>
          <t>IT-2966966</t>
        </is>
      </c>
      <c r="C221" s="43" t="inlineStr"/>
      <c r="D221" s="44" t="inlineStr">
        <is>
          <t>Premera BlueCross PPM OLA Configuration Update.</t>
        </is>
      </c>
      <c r="E221" s="44" t="inlineStr">
        <is>
          <t>Premera BlueCross PPM OLA Configuration Update.</t>
        </is>
      </c>
      <c r="F221" s="44" t="inlineStr"/>
      <c r="G221" s="44" t="inlineStr">
        <is>
          <t>Configuration Updated.</t>
        </is>
      </c>
      <c r="H221" s="43" t="inlineStr">
        <is>
          <t>Other</t>
        </is>
      </c>
      <c r="I221" s="43" t="inlineStr">
        <is>
          <t>Other</t>
        </is>
      </c>
      <c r="J221" s="43" t="inlineStr"/>
      <c r="K221" s="43" t="inlineStr">
        <is>
          <t>Closed</t>
        </is>
      </c>
      <c r="L221" s="43" t="inlineStr">
        <is>
          <t>2026-04-02</t>
        </is>
      </c>
      <c r="M221" s="43" t="inlineStr">
        <is>
          <t>2026-04-02</t>
        </is>
      </c>
      <c r="N221" s="43" t="inlineStr">
        <is>
          <t>Nile Production Support</t>
        </is>
      </c>
      <c r="O221" s="43" t="inlineStr">
        <is>
          <t>Unassigned</t>
        </is>
      </c>
      <c r="P221" s="43" t="inlineStr">
        <is>
          <t>Jani, Shaik</t>
        </is>
      </c>
      <c r="Q221" s="43" t="inlineStr">
        <is>
          <t>Resolved</t>
        </is>
      </c>
      <c r="R221" s="44" t="inlineStr"/>
      <c r="S221" s="43" t="inlineStr"/>
      <c r="T221" s="43" t="inlineStr"/>
      <c r="U221" s="43" t="inlineStr"/>
      <c r="V221" s="49" t="inlineStr">
        <is>
          <t>Configuration Issue</t>
        </is>
      </c>
      <c r="W221" s="43" t="inlineStr"/>
    </row>
    <row r="222">
      <c r="A222" s="46" t="inlineStr">
        <is>
          <t>IT-2966953</t>
        </is>
      </c>
      <c r="B222" s="46" t="inlineStr">
        <is>
          <t>IT-2966953</t>
        </is>
      </c>
      <c r="C222" s="46" t="inlineStr"/>
      <c r="D222" s="47" t="inlineStr">
        <is>
          <t>Oscar Health PPM OLA Config Update.</t>
        </is>
      </c>
      <c r="E222" s="47" t="inlineStr">
        <is>
          <t>Oscar Health PPM OLA Config Update. in Prod Ops Application.</t>
        </is>
      </c>
      <c r="F222" s="47" t="inlineStr"/>
      <c r="G222" s="47" t="inlineStr">
        <is>
          <t>Config updated as per the data escalation plan</t>
        </is>
      </c>
      <c r="H222" s="46" t="inlineStr">
        <is>
          <t>Other</t>
        </is>
      </c>
      <c r="I222" s="46" t="inlineStr">
        <is>
          <t>Other</t>
        </is>
      </c>
      <c r="J222" s="46" t="inlineStr"/>
      <c r="K222" s="46" t="inlineStr">
        <is>
          <t>Closed</t>
        </is>
      </c>
      <c r="L222" s="46" t="inlineStr">
        <is>
          <t>2026-04-02</t>
        </is>
      </c>
      <c r="M222" s="46" t="inlineStr">
        <is>
          <t>2026-04-02</t>
        </is>
      </c>
      <c r="N222" s="46" t="inlineStr">
        <is>
          <t>Nile Production Support</t>
        </is>
      </c>
      <c r="O222" s="46" t="inlineStr">
        <is>
          <t>Unassigned</t>
        </is>
      </c>
      <c r="P222" s="46" t="inlineStr">
        <is>
          <t>Jani, Shaik</t>
        </is>
      </c>
      <c r="Q222" s="46" t="inlineStr">
        <is>
          <t>Resolved</t>
        </is>
      </c>
      <c r="R222" s="47" t="inlineStr"/>
      <c r="S222" s="46" t="inlineStr"/>
      <c r="T222" s="46" t="inlineStr"/>
      <c r="U222" s="46" t="inlineStr"/>
      <c r="V222" s="54" t="inlineStr">
        <is>
          <t>Configuration Issue</t>
        </is>
      </c>
      <c r="W222" s="46" t="inlineStr"/>
    </row>
    <row r="223">
      <c r="A223" s="43" t="inlineStr">
        <is>
          <t>IT-2966929</t>
        </is>
      </c>
      <c r="B223" s="43" t="inlineStr">
        <is>
          <t>IT-2966929</t>
        </is>
      </c>
      <c r="C223" s="43" t="inlineStr"/>
      <c r="D223" s="44" t="inlineStr">
        <is>
          <t>Geisinger PPM OLA Configuration</t>
        </is>
      </c>
      <c r="E223" s="44" t="inlineStr">
        <is>
          <t>Geisinger PPM OLA Configuration in Prod Ops Application</t>
        </is>
      </c>
      <c r="F223" s="44" t="inlineStr"/>
      <c r="G223" s="44" t="inlineStr">
        <is>
          <t>Configurations updated for OLA setup in Geisinger as per the escalation Plan based on the available feature after latest release</t>
        </is>
      </c>
      <c r="H223" s="43" t="inlineStr">
        <is>
          <t>Other</t>
        </is>
      </c>
      <c r="I223" s="43" t="inlineStr">
        <is>
          <t>Other</t>
        </is>
      </c>
      <c r="J223" s="43" t="inlineStr"/>
      <c r="K223" s="43" t="inlineStr">
        <is>
          <t>Closed</t>
        </is>
      </c>
      <c r="L223" s="43" t="inlineStr">
        <is>
          <t>2026-04-02</t>
        </is>
      </c>
      <c r="M223" s="43" t="inlineStr">
        <is>
          <t>2026-04-02</t>
        </is>
      </c>
      <c r="N223" s="43" t="inlineStr">
        <is>
          <t>Nile Production Support</t>
        </is>
      </c>
      <c r="O223" s="43" t="inlineStr">
        <is>
          <t>Unassigned</t>
        </is>
      </c>
      <c r="P223" s="43" t="inlineStr">
        <is>
          <t>Jani, Shaik</t>
        </is>
      </c>
      <c r="Q223" s="43" t="inlineStr">
        <is>
          <t>Resolved</t>
        </is>
      </c>
      <c r="R223" s="44" t="inlineStr"/>
      <c r="S223" s="43" t="inlineStr"/>
      <c r="T223" s="43" t="inlineStr"/>
      <c r="U223" s="43" t="inlineStr"/>
      <c r="V223" s="49" t="inlineStr">
        <is>
          <t>Configuration Issue</t>
        </is>
      </c>
      <c r="W223" s="43" t="inlineStr"/>
    </row>
    <row r="224">
      <c r="A224" s="46" t="inlineStr">
        <is>
          <t>IT-2966913</t>
        </is>
      </c>
      <c r="B224" s="46" t="inlineStr">
        <is>
          <t>IT-2966913</t>
        </is>
      </c>
      <c r="C224" s="46" t="inlineStr"/>
      <c r="D224" s="47" t="inlineStr">
        <is>
          <t>Devoted Health OLA Configuration</t>
        </is>
      </c>
      <c r="E224" s="47" t="inlineStr">
        <is>
          <t>Devoted Health OLA Configuration in Prod Ops Application. Files : TBA &amp; History.</t>
        </is>
      </c>
      <c r="F224" s="47" t="inlineStr"/>
      <c r="G224" s="47" t="inlineStr">
        <is>
          <t>Devoted Health PPM Configuration Updated.</t>
        </is>
      </c>
      <c r="H224" s="46" t="inlineStr">
        <is>
          <t>Other</t>
        </is>
      </c>
      <c r="I224" s="46" t="inlineStr">
        <is>
          <t>Other</t>
        </is>
      </c>
      <c r="J224" s="46" t="inlineStr"/>
      <c r="K224" s="46" t="inlineStr">
        <is>
          <t>Closed</t>
        </is>
      </c>
      <c r="L224" s="46" t="inlineStr">
        <is>
          <t>2026-04-02</t>
        </is>
      </c>
      <c r="M224" s="46" t="inlineStr">
        <is>
          <t>2026-04-02</t>
        </is>
      </c>
      <c r="N224" s="46" t="inlineStr">
        <is>
          <t>Nile Production Support</t>
        </is>
      </c>
      <c r="O224" s="46" t="inlineStr">
        <is>
          <t>Unassigned</t>
        </is>
      </c>
      <c r="P224" s="46" t="inlineStr">
        <is>
          <t>Jani, Shaik</t>
        </is>
      </c>
      <c r="Q224" s="46" t="inlineStr">
        <is>
          <t>Resolved</t>
        </is>
      </c>
      <c r="R224" s="47" t="inlineStr"/>
      <c r="S224" s="46" t="inlineStr"/>
      <c r="T224" s="46" t="inlineStr"/>
      <c r="U224" s="46" t="inlineStr"/>
      <c r="V224" s="54" t="inlineStr">
        <is>
          <t>Configuration Issue</t>
        </is>
      </c>
      <c r="W224" s="46" t="inlineStr"/>
    </row>
    <row r="225">
      <c r="A225" s="43" t="inlineStr">
        <is>
          <t>IT-2966827</t>
        </is>
      </c>
      <c r="B225" s="43" t="inlineStr">
        <is>
          <t>IT-2966827</t>
        </is>
      </c>
      <c r="C225" s="43" t="inlineStr"/>
      <c r="D225" s="44" t="inlineStr">
        <is>
          <t>dm-kaiser-nw-postpay_exclusion_GDF2_9 Pipeline got failed.</t>
        </is>
      </c>
      <c r="E225" s="44" t="inlineStr">
        <is>
          <t>Pipeline Name: dm-kaiser-nw-postpay_exclusion_GDF2_9 spooler Name : Kaiser_nw_overlap</t>
        </is>
      </c>
      <c r="F225" s="44" t="inlineStr">
        <is>
          <t>There is an issue while copying file from t2 to b2b location. Re-submitted the files and spooled to nile. Pipeline processed successfully.</t>
        </is>
      </c>
      <c r="G225" s="44" t="inlineStr">
        <is>
          <t>There is an issue while copying file from t2 to b2b location. Re-submitted the files and spooled to nile. Pipeline processed successfully.</t>
        </is>
      </c>
      <c r="H225" s="43" t="inlineStr">
        <is>
          <t>Other</t>
        </is>
      </c>
      <c r="I225" s="43" t="inlineStr">
        <is>
          <t>Other</t>
        </is>
      </c>
      <c r="J225" s="43" t="inlineStr"/>
      <c r="K225" s="43" t="inlineStr">
        <is>
          <t>Closed</t>
        </is>
      </c>
      <c r="L225" s="43" t="inlineStr">
        <is>
          <t>2026-04-02</t>
        </is>
      </c>
      <c r="M225" s="43" t="inlineStr">
        <is>
          <t>2026-04-03</t>
        </is>
      </c>
      <c r="N225" s="43" t="inlineStr">
        <is>
          <t>Nile Production Support</t>
        </is>
      </c>
      <c r="O225" s="43" t="inlineStr">
        <is>
          <t>Unassigned</t>
        </is>
      </c>
      <c r="P225" s="43" t="inlineStr">
        <is>
          <t>Aryal, Neerajan</t>
        </is>
      </c>
      <c r="Q225" s="43" t="inlineStr">
        <is>
          <t>Resolved</t>
        </is>
      </c>
      <c r="R225" s="44" t="inlineStr">
        <is>
          <t>There is an issue while copying file from t2 to b2b location. Re-submitted the files and spooled to nile. Pipeline processed successfully.</t>
        </is>
      </c>
      <c r="S225" s="43" t="inlineStr"/>
      <c r="T225" s="43" t="inlineStr"/>
      <c r="U225" s="43" t="inlineStr"/>
      <c r="V225" s="56" t="inlineStr">
        <is>
          <t>Spooler issue</t>
        </is>
      </c>
      <c r="W225" s="43" t="inlineStr"/>
    </row>
    <row r="226">
      <c r="A226" s="46" t="inlineStr">
        <is>
          <t>IT-2966439</t>
        </is>
      </c>
      <c r="B226" s="46" t="inlineStr">
        <is>
          <t>IT-2966439</t>
        </is>
      </c>
      <c r="C226" s="46" t="inlineStr"/>
      <c r="D226" s="47" t="inlineStr">
        <is>
          <t>Aetna Hrp Payment Pipeline got failed</t>
        </is>
      </c>
      <c r="E226" s="47" t="inlineStr">
        <is>
          <t>Aetna Hrp Payment Pipeline got failed.</t>
        </is>
      </c>
      <c r="F226" s="47" t="inlineStr">
        <is>
          <t>we successfully processed the pipeline and closed this ticket.</t>
        </is>
      </c>
      <c r="G226" s="47" t="inlineStr">
        <is>
          <t>we successfully processed the pipeline and closed this ticket.</t>
        </is>
      </c>
      <c r="H226" s="46" t="inlineStr">
        <is>
          <t>Other</t>
        </is>
      </c>
      <c r="I226" s="46" t="inlineStr">
        <is>
          <t>Other</t>
        </is>
      </c>
      <c r="J226" s="46" t="inlineStr"/>
      <c r="K226" s="46" t="inlineStr">
        <is>
          <t>Closed</t>
        </is>
      </c>
      <c r="L226" s="46" t="inlineStr">
        <is>
          <t>2026-04-01</t>
        </is>
      </c>
      <c r="M226" s="46" t="inlineStr">
        <is>
          <t>2026-04-03</t>
        </is>
      </c>
      <c r="N226" s="46" t="inlineStr">
        <is>
          <t>Nile Production Support</t>
        </is>
      </c>
      <c r="O226" s="46" t="inlineStr">
        <is>
          <t>Unassigned</t>
        </is>
      </c>
      <c r="P226" s="46" t="inlineStr">
        <is>
          <t>Aryal, Neerajan</t>
        </is>
      </c>
      <c r="Q226" s="46" t="inlineStr">
        <is>
          <t>Resolved</t>
        </is>
      </c>
      <c r="R226" s="47" t="inlineStr">
        <is>
          <t>we successfully processed the pipeline and closed this ticket.</t>
        </is>
      </c>
      <c r="S226" s="46" t="inlineStr"/>
      <c r="T226" s="46" t="inlineStr"/>
      <c r="U226" s="46" t="inlineStr"/>
      <c r="V226" s="52" t="inlineStr">
        <is>
          <t>Pipeline Schedule</t>
        </is>
      </c>
      <c r="W226" s="46" t="inlineStr"/>
    </row>
    <row r="227">
      <c r="A227" s="43" t="inlineStr">
        <is>
          <t>IT-2966034</t>
        </is>
      </c>
      <c r="B227" s="43" t="inlineStr">
        <is>
          <t>IT-2966034</t>
        </is>
      </c>
      <c r="C227" s="43" t="inlineStr"/>
      <c r="D227" s="44" t="inlineStr">
        <is>
          <t>HMSMD Ophistory file failure dated 04-01-2026</t>
        </is>
      </c>
      <c r="E227" s="44" t="inlineStr">
        <is>
          <t>Hi Nile Team, The following HMSMD ophistory file failed to load with excessive failed lines. Can someone look into this pls. File Processing Information: ---------------------------------------------------------------------------------------------------- File : hmsmd_ophistory_incoming_1.04-01-2026_1355 QA Status : FAILED Reason : FAILED - Excessive failed lines (~80%) HMSMD|H|1031|20260401|1019|R TRAILER|1019|20260401|054522 PayerShort: HMSMD MemberId: 0002146242 DependentId: TaxId: 990073524 ProviderId: QPV0000530389 ClaimId: 26084A0000104 Error: CLAIM_DIAGS are blank PayerShort: HMSMD MemberId: 0001060755 DependentId: TaxId: 990274038 ProviderId: QPV0000521146 ClaimId: 26084A0000133 Error: CLAIM_DIAGS are blank PayerShort: HMSMD MemberId: 0002156581 DependentId: TaxId: 990073524 ProviderId: QPV0000530389 ClaimId: 26084A0000135 Error: CLAIM_DIAGS are blank PayerShort: HMSMD MemberId: 0000716229 DependentId: TaxId: 990274038 ProviderId: QPV0000521146 ClaimId: 26084A0000099 Error: CLAIM_DIAGS are blank PayerShort: HMSMD MemberId: 0002081460 DependentId: TaxId: 990073524 ProviderId: QPV0000530389 ClaimId: 26084A0000106 Error: CLAIM_DIAGS are blank PayerShort: HMSMD MemberId: 0000794075 DependentId: TaxId: 912151670 ProviderId: QPV0000391131 ClaimId: 26084A0000109 Error: CLAIM_DIAGS are blank PayerShort: HMSMD MemberId: 0000291871 DependentId: TaxId: 990073524 ProviderId: PPV0000599764 ClaimId: 26084A0000128 Error: CLAIM_DIAGS are blank PayerShort: HMSMD MemberId: 0000134904 DependentId: TaxId: 990073524 ProviderId: PPV0000599764 ClaimId: 26084A0000136 Error: CLAIM_DIAGS are blank PayerShort: HMSMD MemberId: 0000889053 DependentId: TaxId: 990073524 ProviderId: PPV0000599764 ClaimId: 26084A0000103 Error: CLAIM_DIAGS are blank PayerShort: HMSMD MemberId: 0000354190 DependentId: TaxId: 990073524 ProviderId: QPV0000530389 ClaimId: 26084A0000123 Error: CLAIM_DIAGS are blank PayerShort: HMSMD MemberId: 0000072208 DependentId: TaxId: 990073524 ProviderId: QPV0000530389 ClaimId: 26084A0000134 Error: CLAIM_DIAGS are blank PayerShort: HMSMD MemberId: 0001074524 DependentId: TaxId: 912151670 ProviderId: QPV0000391131 ClaimId: 26084A0000112 Error: CLAIM_DIAGS are blank PayerShort: HMSMD MemberId: 0002645362 DependentId: TaxId: 990073524 ProviderId: QPV0000530389 ClaimId: 26084A0000115 Error: CLAIM_DIAGS are blank File Summary Information Total Claims: 44 Claims Processed: 44 Total Lines: 1019 Lines Processed: 1019</t>
        </is>
      </c>
      <c r="F227" s="44"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G227" s="44" t="inlineStr">
        <is>
          <t>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H227" s="43" t="inlineStr"/>
      <c r="I227" s="43" t="inlineStr"/>
      <c r="J227" s="43" t="inlineStr"/>
      <c r="K227" s="43" t="inlineStr">
        <is>
          <t>Closed</t>
        </is>
      </c>
      <c r="L227" s="43" t="inlineStr">
        <is>
          <t>2026-04-01</t>
        </is>
      </c>
      <c r="M227" s="43" t="inlineStr">
        <is>
          <t>2026-05-06</t>
        </is>
      </c>
      <c r="N227" s="43" t="inlineStr">
        <is>
          <t>Nile Production Support</t>
        </is>
      </c>
      <c r="O227" s="43" t="inlineStr">
        <is>
          <t>Unassigned</t>
        </is>
      </c>
      <c r="P227" s="43" t="inlineStr">
        <is>
          <t>Gara, Venkatramana</t>
        </is>
      </c>
      <c r="Q227" s="43" t="inlineStr">
        <is>
          <t>Closed</t>
        </is>
      </c>
      <c r="R227" s="44"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S227" s="43" t="inlineStr"/>
      <c r="T227" s="43" t="inlineStr"/>
      <c r="U227" s="43" t="inlineStr"/>
      <c r="V227" s="53" t="inlineStr">
        <is>
          <t>File Issue</t>
        </is>
      </c>
      <c r="W227" s="43" t="inlineStr"/>
    </row>
    <row r="228">
      <c r="A228" s="46" t="inlineStr">
        <is>
          <t>IT-2965751</t>
        </is>
      </c>
      <c r="B228" s="46" t="inlineStr">
        <is>
          <t>IT-2965751</t>
        </is>
      </c>
      <c r="C228" s="46" t="inlineStr"/>
      <c r="D228" s="47" t="inlineStr">
        <is>
          <t>Copy files From Nile QC Raw path to Nile Dev Raw path - UHC CSP</t>
        </is>
      </c>
      <c r="E228" s="47"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F228" s="47"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G228" s="47" t="inlineStr">
        <is>
          <t>Files Copied</t>
        </is>
      </c>
      <c r="H228" s="46" t="inlineStr">
        <is>
          <t>Other</t>
        </is>
      </c>
      <c r="I228" s="46" t="inlineStr">
        <is>
          <t>Other</t>
        </is>
      </c>
      <c r="J228" s="46" t="inlineStr"/>
      <c r="K228" s="46" t="inlineStr">
        <is>
          <t>Closed</t>
        </is>
      </c>
      <c r="L228" s="46" t="inlineStr">
        <is>
          <t>2026-04-01</t>
        </is>
      </c>
      <c r="M228" s="46" t="inlineStr">
        <is>
          <t>2026-04-01</t>
        </is>
      </c>
      <c r="N228" s="46" t="inlineStr">
        <is>
          <t>Nile Production Support</t>
        </is>
      </c>
      <c r="O228" s="46" t="inlineStr">
        <is>
          <t>Unassigned</t>
        </is>
      </c>
      <c r="P228" s="46" t="inlineStr">
        <is>
          <t>Shivalingu, Naveen</t>
        </is>
      </c>
      <c r="Q228" s="46" t="inlineStr">
        <is>
          <t>Resolved</t>
        </is>
      </c>
      <c r="R228" s="47"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S228" s="46" t="inlineStr"/>
      <c r="T228" s="46" t="inlineStr"/>
      <c r="U228" s="46" t="inlineStr"/>
      <c r="V228" s="57" t="inlineStr">
        <is>
          <t>Other</t>
        </is>
      </c>
      <c r="W228" s="46" t="inlineStr">
        <is>
          <t>Yes</t>
        </is>
      </c>
    </row>
    <row r="229">
      <c r="A229" s="43" t="inlineStr">
        <is>
          <t>IT-2965581</t>
        </is>
      </c>
      <c r="B229" s="43" t="inlineStr">
        <is>
          <t>IT-2965581</t>
        </is>
      </c>
      <c r="C229" s="43" t="inlineStr"/>
      <c r="D229" s="44" t="inlineStr">
        <is>
          <t>UHC-CIRRUS | Dummy ticket | Testing</t>
        </is>
      </c>
      <c r="E229" s="44" t="inlineStr">
        <is>
          <t>testing 1, 2, 3........</t>
        </is>
      </c>
      <c r="F229" s="44" t="inlineStr">
        <is>
          <t>ticket not needed. testing ticket.</t>
        </is>
      </c>
      <c r="G229" s="44" t="inlineStr"/>
      <c r="H229" s="43" t="inlineStr">
        <is>
          <t>Other</t>
        </is>
      </c>
      <c r="I229" s="43" t="inlineStr">
        <is>
          <t>Other</t>
        </is>
      </c>
      <c r="J229" s="43" t="inlineStr"/>
      <c r="K229" s="43" t="inlineStr">
        <is>
          <t>Cancelled</t>
        </is>
      </c>
      <c r="L229" s="43" t="inlineStr">
        <is>
          <t>2026-04-01</t>
        </is>
      </c>
      <c r="M229" s="43" t="inlineStr">
        <is>
          <t>2026-04-01</t>
        </is>
      </c>
      <c r="N229" s="43" t="inlineStr">
        <is>
          <t>Nile Production Support</t>
        </is>
      </c>
      <c r="O229" s="43" t="inlineStr">
        <is>
          <t>Unassigned</t>
        </is>
      </c>
      <c r="P229" s="43" t="inlineStr">
        <is>
          <t>Enid Ike</t>
        </is>
      </c>
      <c r="Q229" s="43" t="inlineStr">
        <is>
          <t>Cancelled</t>
        </is>
      </c>
      <c r="R229" s="44" t="inlineStr">
        <is>
          <t>ticket not needed. testing ticket.</t>
        </is>
      </c>
      <c r="S229" s="43" t="inlineStr"/>
      <c r="T229" s="43" t="inlineStr"/>
      <c r="U229" s="43" t="inlineStr"/>
      <c r="V229" s="58" t="inlineStr">
        <is>
          <t>Other</t>
        </is>
      </c>
      <c r="W229" s="43" t="inlineStr">
        <is>
          <t>Yes</t>
        </is>
      </c>
    </row>
    <row r="230">
      <c r="A230" s="46" t="inlineStr">
        <is>
          <t>IT-2965550</t>
        </is>
      </c>
      <c r="B230" s="46" t="inlineStr">
        <is>
          <t>IT-2965550</t>
        </is>
      </c>
      <c r="C230" s="46" t="inlineStr"/>
      <c r="D230" s="47" t="inlineStr">
        <is>
          <t>BCBS-ND File With Blank Values (EPIC_CD / USER095 RMS Field)</t>
        </is>
      </c>
      <c r="E230" s="47" t="inlineStr">
        <is>
          <t>BCBS-ND has reached out regarding blank values in the EPIC_CD filed of the weekly overpayment files noting the EPIC code value is sent in the CC_CUSTOM_FIELD_04 of the medical claims GDF. Is it possible to determine where the roadblock is occurring a ND states, they are not sending blank values. Whitney Barnes (yield manager) stated that the export pulls from RMS field EPIC [User095] for the Export and these claims have blanks. ClaimNum 6188015927 6190000940 6190000941 6190000942 6188015483 6188015484 6188015485 6188015486 6188015487 6188015488 6188015489 6188015490</t>
        </is>
      </c>
      <c r="F230" s="47"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G230" s="47" t="inlineStr"/>
      <c r="H230" s="46" t="inlineStr"/>
      <c r="I230" s="46" t="inlineStr"/>
      <c r="J230" s="46" t="inlineStr"/>
      <c r="K230" s="46" t="inlineStr">
        <is>
          <t>Cancelled</t>
        </is>
      </c>
      <c r="L230" s="46" t="inlineStr">
        <is>
          <t>2026-04-01</t>
        </is>
      </c>
      <c r="M230" s="46" t="inlineStr">
        <is>
          <t>2026-04-01</t>
        </is>
      </c>
      <c r="N230" s="46" t="inlineStr">
        <is>
          <t>Nile Production Support</t>
        </is>
      </c>
      <c r="O230" s="46" t="inlineStr">
        <is>
          <t>Unassigned</t>
        </is>
      </c>
      <c r="P230" s="46" t="inlineStr">
        <is>
          <t>Spencer, Jae</t>
        </is>
      </c>
      <c r="Q230" s="46" t="inlineStr">
        <is>
          <t>Cancelled</t>
        </is>
      </c>
      <c r="R230" s="47"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S230" s="46" t="inlineStr"/>
      <c r="T230" s="46" t="inlineStr"/>
      <c r="U230" s="46" t="inlineStr"/>
      <c r="V230" s="63" t="inlineStr">
        <is>
          <t>Schema issue</t>
        </is>
      </c>
      <c r="W230" s="46" t="inlineStr"/>
    </row>
    <row r="231">
      <c r="A231" s="43" t="inlineStr">
        <is>
          <t>IT-2965494</t>
        </is>
      </c>
      <c r="B231" s="43" t="inlineStr">
        <is>
          <t>IT-2965494</t>
        </is>
      </c>
      <c r="C231" s="43" t="inlineStr"/>
      <c r="D231" s="44" t="inlineStr">
        <is>
          <t>Please Update the ICD10PcsOR Table in the GlobalHCCnlyMedicalCodesLibrary Database</t>
        </is>
      </c>
      <c r="E231" s="44" t="inlineStr">
        <is>
          <t>Hello Nile Team. Please run the below pipeline with the indicated source file to update the ICD10PcsOR table in the GlobalHCCnlyMedicalCodesLibrary database. Pipeline: dm-mcl-mcl-actian_migration_ICD10PcsOR Source file location: Y:\Ftp\B2B\MCL-NILE\ICD10OR\2026-04-01\ICD10PcsOR_2026_April.xlsx Please let me know if you have any questions. Thanks. Mike</t>
        </is>
      </c>
      <c r="F231" s="44"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G231" s="44" t="inlineStr">
        <is>
          <t>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H231" s="43" t="inlineStr">
        <is>
          <t>Other</t>
        </is>
      </c>
      <c r="I231" s="43" t="inlineStr">
        <is>
          <t>Other</t>
        </is>
      </c>
      <c r="J231" s="43" t="inlineStr"/>
      <c r="K231" s="43" t="inlineStr">
        <is>
          <t>Closed</t>
        </is>
      </c>
      <c r="L231" s="43" t="inlineStr">
        <is>
          <t>2026-04-01</t>
        </is>
      </c>
      <c r="M231" s="43" t="inlineStr">
        <is>
          <t>2026-04-13</t>
        </is>
      </c>
      <c r="N231" s="43" t="inlineStr">
        <is>
          <t>Nile Production Support</t>
        </is>
      </c>
      <c r="O231" s="43" t="inlineStr">
        <is>
          <t>Unassigned</t>
        </is>
      </c>
      <c r="P231" s="43" t="inlineStr">
        <is>
          <t>Deynarian, Michael</t>
        </is>
      </c>
      <c r="Q231" s="43" t="inlineStr">
        <is>
          <t>Resolved</t>
        </is>
      </c>
      <c r="R231" s="44"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S231" s="43" t="inlineStr"/>
      <c r="T231" s="43" t="inlineStr"/>
      <c r="U231" s="43" t="inlineStr"/>
      <c r="V231" s="53" t="inlineStr">
        <is>
          <t>File Issue</t>
        </is>
      </c>
      <c r="W231" s="43" t="inlineStr"/>
    </row>
    <row r="232">
      <c r="A232" s="46" t="inlineStr">
        <is>
          <t>IT-2965437</t>
        </is>
      </c>
      <c r="B232" s="46" t="inlineStr">
        <is>
          <t>IT-2965437</t>
        </is>
      </c>
      <c r="C232" s="46" t="inlineStr"/>
      <c r="D232" s="47" t="inlineStr">
        <is>
          <t>Production spooler fail - Wellcare-Wellcare_Actian_PBM_WKY</t>
        </is>
      </c>
      <c r="E232" s="47" t="inlineStr">
        <is>
          <t>Hi Dindo Octaviano , Could you please look into the spooler fail issue for spooler, Wellcare-Wellcare_Actian_PBM_WKY? Am seeing below error message in the spooler run. failure to login: for principal: svcpnilediprodraw@COTIVITI.COM from keytab /keys/svcpnilediprodraw.keytab javax.security.auth.login.LoginException: Client not found in Kerberos database (6) Thank you!</t>
        </is>
      </c>
      <c r="F232" s="47"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G232" s="47" t="inlineStr">
        <is>
          <t>File spooled.</t>
        </is>
      </c>
      <c r="H232" s="46" t="inlineStr">
        <is>
          <t>Other</t>
        </is>
      </c>
      <c r="I232" s="46" t="inlineStr">
        <is>
          <t>Other</t>
        </is>
      </c>
      <c r="J232" s="46" t="inlineStr"/>
      <c r="K232" s="46" t="inlineStr">
        <is>
          <t>Closed</t>
        </is>
      </c>
      <c r="L232" s="46" t="inlineStr">
        <is>
          <t>2026-04-01</t>
        </is>
      </c>
      <c r="M232" s="46" t="inlineStr">
        <is>
          <t>2026-04-05</t>
        </is>
      </c>
      <c r="N232" s="46" t="inlineStr">
        <is>
          <t>Nile Production Support</t>
        </is>
      </c>
      <c r="O232" s="46" t="inlineStr">
        <is>
          <t>Unassigned</t>
        </is>
      </c>
      <c r="P232" s="46" t="inlineStr">
        <is>
          <t>Varghese, Shilpa Anna</t>
        </is>
      </c>
      <c r="Q232" s="46" t="inlineStr">
        <is>
          <t>Resolved</t>
        </is>
      </c>
      <c r="R232" s="47"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S232" s="46" t="inlineStr"/>
      <c r="T232" s="46" t="inlineStr"/>
      <c r="U232" s="46" t="inlineStr"/>
      <c r="V232" s="61" t="inlineStr">
        <is>
          <t>Spooler issue</t>
        </is>
      </c>
      <c r="W232" s="46" t="inlineStr"/>
    </row>
    <row r="233">
      <c r="A233" s="43" t="inlineStr">
        <is>
          <t>IT-2964678</t>
        </is>
      </c>
      <c r="B233" s="43" t="inlineStr">
        <is>
          <t>IT-2964678</t>
        </is>
      </c>
      <c r="C233" s="43" t="inlineStr"/>
      <c r="D233" s="44" t="inlineStr">
        <is>
          <t>help needed on loading aetna hrp claim file</t>
        </is>
      </c>
      <c r="E233" s="44" t="inlineStr">
        <is>
          <t>Hello Team, on 3/25, we received 2 aetna hrp claim files, but only one was avaialble in the folder. file: \\gad1pcah500nas01.data.na s.cotiviti.com \NileDropbox_Prod\prod\aetna-hrp\inbound\production\VENDOR.CB-CLAIMS-EXTRACT.260325220624.csv was not availble in sql folder. can you please: 1. reload this file to table, so i can process it [AetnaDataRawHRP] . [dbo] . [Claims_Load_Weekly_20260325] , this table has been created help me find out why this file is not available in the folder so we can fix it for future</t>
        </is>
      </c>
      <c r="F233" s="44" t="inlineStr">
        <is>
          <t>got the pipeline to run dm-aetna-hrp-actian_migration_claims version 2.2 Claims_Load_Weekly_20260325 contains the data made and published version 1.2</t>
        </is>
      </c>
      <c r="G233" s="44" t="inlineStr">
        <is>
          <t>loaded both files for this pipeline and made sure thy are ingested in the corect table. Rescheduled the pipeline</t>
        </is>
      </c>
      <c r="H233" s="43" t="inlineStr">
        <is>
          <t>Other</t>
        </is>
      </c>
      <c r="I233" s="43" t="inlineStr">
        <is>
          <t>Other</t>
        </is>
      </c>
      <c r="J233" s="43" t="inlineStr"/>
      <c r="K233" s="43" t="inlineStr">
        <is>
          <t>Closed</t>
        </is>
      </c>
      <c r="L233" s="43" t="inlineStr">
        <is>
          <t>2026-04-01</t>
        </is>
      </c>
      <c r="M233" s="43" t="inlineStr">
        <is>
          <t>2026-04-01</t>
        </is>
      </c>
      <c r="N233" s="43" t="inlineStr">
        <is>
          <t>Nile Production Support</t>
        </is>
      </c>
      <c r="O233" s="43" t="inlineStr">
        <is>
          <t>Unassigned</t>
        </is>
      </c>
      <c r="P233" s="43" t="inlineStr">
        <is>
          <t>Tang, Chao</t>
        </is>
      </c>
      <c r="Q233" s="43" t="inlineStr">
        <is>
          <t>Resolved</t>
        </is>
      </c>
      <c r="R233" s="44" t="inlineStr">
        <is>
          <t>got the pipeline to run dm-aetna-hrp-actian_migration_claims version 2.2 Claims_Load_Weekly_20260325 contains the data made and published version 1.2</t>
        </is>
      </c>
      <c r="S233" s="43" t="inlineStr"/>
      <c r="T233" s="43" t="inlineStr"/>
      <c r="U233" s="43" t="inlineStr"/>
      <c r="V233" s="64" t="inlineStr">
        <is>
          <t>File Missing</t>
        </is>
      </c>
      <c r="W233" s="43" t="inlineStr"/>
    </row>
    <row r="234">
      <c r="A234" s="46" t="inlineStr">
        <is>
          <t>IT-2964594</t>
        </is>
      </c>
      <c r="B234" s="46" t="inlineStr">
        <is>
          <t>IT-2964594</t>
        </is>
      </c>
      <c r="C234" s="46" t="inlineStr"/>
      <c r="D234" s="47" t="inlineStr">
        <is>
          <t>HCSCG : History PROF and INSTI files missing : 03/31/2026</t>
        </is>
      </c>
      <c r="E234" s="47" t="inlineStr">
        <is>
          <t>Hi Nile Team, We are missing HCSCG History Professional and Institutional for 03/31 scheduled at 9 PM EST, So please check and provide us an update. hcscg_history_incoming_1 hcscg_ophistory_incoming_1</t>
        </is>
      </c>
      <c r="F234" s="47" t="inlineStr">
        <is>
          <t>Escalate the missing file to the client Email sub: Missing Files: hcsc history 20260331 Claims job delayed, the claims were included in the 04/01 file.</t>
        </is>
      </c>
      <c r="G234" s="47" t="inlineStr"/>
      <c r="H234" s="46" t="inlineStr"/>
      <c r="I234" s="46" t="inlineStr"/>
      <c r="J234" s="46" t="inlineStr"/>
      <c r="K234" s="46" t="inlineStr">
        <is>
          <t>Closed</t>
        </is>
      </c>
      <c r="L234" s="46" t="inlineStr">
        <is>
          <t>2026-04-01</t>
        </is>
      </c>
      <c r="M234" s="46" t="inlineStr">
        <is>
          <t>2026-04-07</t>
        </is>
      </c>
      <c r="N234" s="46" t="inlineStr">
        <is>
          <t>Nile Production Support</t>
        </is>
      </c>
      <c r="O234" s="46" t="inlineStr">
        <is>
          <t>Unassigned</t>
        </is>
      </c>
      <c r="P234" s="46" t="inlineStr">
        <is>
          <t>Shinde, Vijaykumar</t>
        </is>
      </c>
      <c r="Q234" s="46" t="inlineStr">
        <is>
          <t>Closed</t>
        </is>
      </c>
      <c r="R234" s="47" t="inlineStr">
        <is>
          <t>Escalate the missing file to the client Email sub: Missing Files: hcsc history 20260331 Claims job delayed, the claims were included in the 04/01 file.</t>
        </is>
      </c>
      <c r="S234" s="46" t="inlineStr"/>
      <c r="T234" s="46" t="inlineStr"/>
      <c r="U234" s="46" t="inlineStr"/>
      <c r="V234" s="48" t="inlineStr">
        <is>
          <t>File Missing</t>
        </is>
      </c>
      <c r="W234" s="46" t="inlineStr"/>
    </row>
    <row r="235">
      <c r="A235" s="43" t="inlineStr">
        <is>
          <t>IT-2964244</t>
        </is>
      </c>
      <c r="B235" s="43" t="inlineStr">
        <is>
          <t>IT-2964244</t>
        </is>
      </c>
      <c r="C235" s="43" t="inlineStr"/>
      <c r="D235" s="44" t="inlineStr">
        <is>
          <t>copy latest set of files from Prod</t>
        </is>
      </c>
      <c r="E235" s="44" t="inlineStr">
        <is>
          <t>Hi , Could you please help copy latest set of files (20260330) from PROD to DEV. Client feed- 304-aetna-trad_scm</t>
        </is>
      </c>
      <c r="F235" s="44" t="inlineStr">
        <is>
          <t>Hi Malireddy, Krishna Files copied please verify Thanks</t>
        </is>
      </c>
      <c r="G235" s="44" t="inlineStr">
        <is>
          <t>Files copied</t>
        </is>
      </c>
      <c r="H235" s="43" t="inlineStr">
        <is>
          <t>Other</t>
        </is>
      </c>
      <c r="I235" s="43" t="inlineStr">
        <is>
          <t>Other</t>
        </is>
      </c>
      <c r="J235" s="43" t="inlineStr"/>
      <c r="K235" s="43" t="inlineStr">
        <is>
          <t>Closed</t>
        </is>
      </c>
      <c r="L235" s="43" t="inlineStr">
        <is>
          <t>2026-04-01</t>
        </is>
      </c>
      <c r="M235" s="43" t="inlineStr">
        <is>
          <t>2026-04-01</t>
        </is>
      </c>
      <c r="N235" s="43" t="inlineStr">
        <is>
          <t>Nile Production Support</t>
        </is>
      </c>
      <c r="O235" s="43" t="inlineStr">
        <is>
          <t>Unassigned</t>
        </is>
      </c>
      <c r="P235" s="43" t="inlineStr">
        <is>
          <t>Malireddy, Krishna</t>
        </is>
      </c>
      <c r="Q235" s="43" t="inlineStr">
        <is>
          <t>Resolved</t>
        </is>
      </c>
      <c r="R235" s="44" t="inlineStr">
        <is>
          <t>Hi Malireddy, Krishna Files copied please verify Thanks</t>
        </is>
      </c>
      <c r="S235" s="43" t="inlineStr"/>
      <c r="T235" s="43" t="inlineStr"/>
      <c r="U235" s="43" t="inlineStr"/>
      <c r="V235" s="58" t="inlineStr">
        <is>
          <t>Other</t>
        </is>
      </c>
      <c r="W235" s="43" t="inlineStr">
        <is>
          <t>Yes</t>
        </is>
      </c>
    </row>
    <row r="236">
      <c r="A236" s="46" t="inlineStr">
        <is>
          <t>IT-2964225</t>
        </is>
      </c>
      <c r="B236" s="46" t="inlineStr">
        <is>
          <t>IT-2964225</t>
        </is>
      </c>
      <c r="C236" s="46" t="inlineStr"/>
      <c r="D236" s="47" t="inlineStr">
        <is>
          <t>HMSMC :: hmsmc_daily_incoming_1 file failure :: 03/31/2026</t>
        </is>
      </c>
      <c r="E236" s="47" t="inlineStr">
        <is>
          <t>Support Ticket : IT-2963768</t>
        </is>
      </c>
      <c r="F236" s="47" t="inlineStr"/>
      <c r="G236" s="47" t="inlineStr">
        <is>
          <t>we fixed the issue and getting closer confirmation from use. I closed this ticket.</t>
        </is>
      </c>
      <c r="H236" s="46" t="inlineStr">
        <is>
          <t>Other</t>
        </is>
      </c>
      <c r="I236" s="46" t="inlineStr">
        <is>
          <t>Other</t>
        </is>
      </c>
      <c r="J236" s="46" t="inlineStr"/>
      <c r="K236" s="46" t="inlineStr">
        <is>
          <t>Closed</t>
        </is>
      </c>
      <c r="L236" s="46" t="inlineStr">
        <is>
          <t>2026-04-01</t>
        </is>
      </c>
      <c r="M236" s="46" t="inlineStr">
        <is>
          <t>2026-04-01</t>
        </is>
      </c>
      <c r="N236" s="46" t="inlineStr">
        <is>
          <t>Nile Production Support</t>
        </is>
      </c>
      <c r="O236" s="46" t="inlineStr">
        <is>
          <t>Unassigned</t>
        </is>
      </c>
      <c r="P236" s="46" t="inlineStr">
        <is>
          <t>Aryal, Neerajan</t>
        </is>
      </c>
      <c r="Q236" s="46" t="inlineStr">
        <is>
          <t>Resolved</t>
        </is>
      </c>
      <c r="R236" s="47" t="inlineStr"/>
      <c r="S236" s="46" t="inlineStr"/>
      <c r="T236" s="46" t="inlineStr"/>
      <c r="U236" s="46" t="inlineStr"/>
      <c r="V236" s="50" t="inlineStr">
        <is>
          <t>File Issue</t>
        </is>
      </c>
      <c r="W236" s="46" t="inlineStr"/>
    </row>
    <row r="237">
      <c r="A237" s="43" t="inlineStr">
        <is>
          <t>IT-2964129</t>
        </is>
      </c>
      <c r="B237" s="43" t="inlineStr">
        <is>
          <t>IT-2964129</t>
        </is>
      </c>
      <c r="C237" s="43" t="inlineStr"/>
      <c r="D237" s="44" t="inlineStr">
        <is>
          <t>Centene/Fidelis No Touch File</t>
        </is>
      </c>
      <c r="E237" s="44" t="inlineStr">
        <is>
          <t>Pipeline: dm-fideliscare-facets-no_touch_claims_custom_GDF2_8</t>
        </is>
      </c>
      <c r="F237" s="44"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G237" s="44" t="inlineStr">
        <is>
          <t>Jesse received the lineage.</t>
        </is>
      </c>
      <c r="H237" s="43" t="inlineStr">
        <is>
          <t>Other</t>
        </is>
      </c>
      <c r="I237" s="43" t="inlineStr">
        <is>
          <t>Other</t>
        </is>
      </c>
      <c r="J237" s="43" t="inlineStr"/>
      <c r="K237" s="43" t="inlineStr">
        <is>
          <t>Closed</t>
        </is>
      </c>
      <c r="L237" s="43" t="inlineStr">
        <is>
          <t>2026-04-01</t>
        </is>
      </c>
      <c r="M237" s="43" t="inlineStr">
        <is>
          <t>2026-04-30</t>
        </is>
      </c>
      <c r="N237" s="43" t="inlineStr">
        <is>
          <t>Nile Production Support</t>
        </is>
      </c>
      <c r="O237" s="43" t="inlineStr">
        <is>
          <t>Unassigned</t>
        </is>
      </c>
      <c r="P237" s="43" t="inlineStr">
        <is>
          <t>Limbu, Sajan</t>
        </is>
      </c>
      <c r="Q237" s="43" t="inlineStr">
        <is>
          <t>Resolved</t>
        </is>
      </c>
      <c r="R237" s="44"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S237" s="43" t="inlineStr"/>
      <c r="T237" s="43" t="inlineStr"/>
      <c r="U237" s="43" t="inlineStr"/>
      <c r="V237" s="64" t="inlineStr">
        <is>
          <t>File Missing</t>
        </is>
      </c>
      <c r="W237" s="43" t="inlineStr"/>
    </row>
    <row r="238">
      <c r="A238" s="46" t="inlineStr">
        <is>
          <t>IT-2963922</t>
        </is>
      </c>
      <c r="B238" s="46" t="inlineStr">
        <is>
          <t>IT-2963922</t>
        </is>
      </c>
      <c r="C238" s="46" t="inlineStr"/>
      <c r="D238" s="47" t="inlineStr">
        <is>
          <t>Update "McdDmeCappedRentalCodes" and “DmeZipcodeClassification” Table in MCL</t>
        </is>
      </c>
      <c r="E238" s="47"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F238" s="47"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G238" s="47" t="inlineStr">
        <is>
          <t>Files loaded successfully and user confirmed to close the ticket.</t>
        </is>
      </c>
      <c r="H238" s="46" t="inlineStr">
        <is>
          <t>Other</t>
        </is>
      </c>
      <c r="I238" s="46" t="inlineStr">
        <is>
          <t>Other</t>
        </is>
      </c>
      <c r="J238" s="46" t="inlineStr"/>
      <c r="K238" s="46" t="inlineStr">
        <is>
          <t>Closed</t>
        </is>
      </c>
      <c r="L238" s="46" t="inlineStr">
        <is>
          <t>2026-04-01</t>
        </is>
      </c>
      <c r="M238" s="46" t="inlineStr">
        <is>
          <t>2026-04-07</t>
        </is>
      </c>
      <c r="N238" s="46" t="inlineStr">
        <is>
          <t>Nile Production Support</t>
        </is>
      </c>
      <c r="O238" s="46" t="inlineStr">
        <is>
          <t>Unassigned</t>
        </is>
      </c>
      <c r="P238" s="46" t="inlineStr">
        <is>
          <t>Bhegade, Shweta</t>
        </is>
      </c>
      <c r="Q238" s="46" t="inlineStr">
        <is>
          <t>Resolved</t>
        </is>
      </c>
      <c r="R238" s="47"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S238" s="46" t="inlineStr"/>
      <c r="T238" s="46" t="inlineStr"/>
      <c r="U238" s="46" t="inlineStr"/>
      <c r="V238" s="57" t="inlineStr">
        <is>
          <t>Other</t>
        </is>
      </c>
      <c r="W238" s="46" t="inlineStr">
        <is>
          <t>Yes</t>
        </is>
      </c>
    </row>
  </sheetData>
  <autoFilter ref="A2:W2"/>
  <mergeCells count="1">
    <mergeCell ref="A1:W1"/>
  </mergeCells>
  <dataValidations count="1">
    <dataValidation sqref="V3:V238" showDropDown="0" showInputMessage="0" showErrorMessage="1" allowBlank="0" errorTitle="Invalid Category" error="Please select a valid category from the dropdown." type="list">
      <formula1>'_categories'!$A$1:$A$12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4" customWidth="1" min="4" max="4"/>
    <col width="14" customWidth="1" min="5" max="5"/>
  </cols>
  <sheetData>
    <row r="1" ht="28" customHeight="1">
      <c r="A1" s="69" t="inlineStr">
        <is>
          <t>NILE Pipeline Issue Summary — April 2026</t>
        </is>
      </c>
    </row>
    <row r="2" ht="20" customHeight="1">
      <c r="A2" s="70">
        <f>"Total Tickets: "&amp;TEXT(COUNTIF('Raw — Apr 2026'!$V$3:$V$10000,"&lt;&gt;"),"0")</f>
        <v/>
      </c>
    </row>
    <row r="4" ht="22" customHeight="1">
      <c r="A4" s="11" t="inlineStr">
        <is>
          <t>Category</t>
        </is>
      </c>
      <c r="B4" s="11" t="inlineStr">
        <is>
          <t>Count</t>
        </is>
      </c>
      <c r="C4" s="11" t="inlineStr">
        <is>
          <t>% Share</t>
        </is>
      </c>
      <c r="D4" s="11" t="inlineStr">
        <is>
          <t>vs Last Month</t>
        </is>
      </c>
      <c r="E4" s="11" t="inlineStr">
        <is>
          <t>Color Tag</t>
        </is>
      </c>
    </row>
    <row r="5">
      <c r="A5" s="71" t="inlineStr">
        <is>
          <t>Configuration Issue</t>
        </is>
      </c>
      <c r="B5" s="13">
        <f>COUNTIF('Raw — Apr 2026'!$V$3:$V$10000,"Configuration Issue")</f>
        <v/>
      </c>
      <c r="C5" s="72">
        <f>IF(COUNTIF('Raw — Apr 2026'!$V$3:$V$10000,"&lt;&gt;")&gt;0,COUNTIF('Raw — Apr 2026'!$V$3:$V$10000,"Configuration Issue")/COUNTIF('Raw — Apr 2026'!$V$3:$V$10000,"&lt;&gt;"),0)</f>
        <v/>
      </c>
      <c r="D5" s="15" t="inlineStr">
        <is>
          <t>New</t>
        </is>
      </c>
      <c r="E5" s="73" t="inlineStr"/>
    </row>
    <row r="6">
      <c r="A6" s="74" t="inlineStr">
        <is>
          <t>File Issue</t>
        </is>
      </c>
      <c r="B6" s="18">
        <f>COUNTIF('Raw — Apr 2026'!$V$3:$V$10000,"File Issue")</f>
        <v/>
      </c>
      <c r="C6" s="75">
        <f>IF(COUNTIF('Raw — Apr 2026'!$V$3:$V$10000,"&lt;&gt;")&gt;0,COUNTIF('Raw — Apr 2026'!$V$3:$V$10000,"File Issue")/COUNTIF('Raw — Apr 2026'!$V$3:$V$10000,"&lt;&gt;"),0)</f>
        <v/>
      </c>
      <c r="D6" s="20" t="inlineStr">
        <is>
          <t>New</t>
        </is>
      </c>
      <c r="E6" s="76" t="inlineStr"/>
    </row>
    <row r="7">
      <c r="A7" s="71" t="inlineStr">
        <is>
          <t>Spooler issue</t>
        </is>
      </c>
      <c r="B7" s="13">
        <f>COUNTIF('Raw — Apr 2026'!$V$3:$V$10000,"Spooler issue")</f>
        <v/>
      </c>
      <c r="C7" s="72">
        <f>IF(COUNTIF('Raw — Apr 2026'!$V$3:$V$10000,"&lt;&gt;")&gt;0,COUNTIF('Raw — Apr 2026'!$V$3:$V$10000,"Spooler issue")/COUNTIF('Raw — Apr 2026'!$V$3:$V$10000,"&lt;&gt;"),0)</f>
        <v/>
      </c>
      <c r="D7" s="15" t="inlineStr">
        <is>
          <t>New</t>
        </is>
      </c>
      <c r="E7" s="77" t="inlineStr"/>
    </row>
    <row r="8">
      <c r="A8" s="74" t="inlineStr">
        <is>
          <t>Data Issue</t>
        </is>
      </c>
      <c r="B8" s="18">
        <f>COUNTIF('Raw — Apr 2026'!$V$3:$V$10000,"Data Issue")</f>
        <v/>
      </c>
      <c r="C8" s="75">
        <f>IF(COUNTIF('Raw — Apr 2026'!$V$3:$V$10000,"&lt;&gt;")&gt;0,COUNTIF('Raw — Apr 2026'!$V$3:$V$10000,"Data Issue")/COUNTIF('Raw — Apr 2026'!$V$3:$V$10000,"&lt;&gt;"),0)</f>
        <v/>
      </c>
      <c r="D8" s="20" t="inlineStr">
        <is>
          <t>New</t>
        </is>
      </c>
      <c r="E8" s="78" t="inlineStr"/>
    </row>
    <row r="9">
      <c r="A9" s="71" t="inlineStr">
        <is>
          <t>File Missing</t>
        </is>
      </c>
      <c r="B9" s="13">
        <f>COUNTIF('Raw — Apr 2026'!$V$3:$V$10000,"File Missing")</f>
        <v/>
      </c>
      <c r="C9" s="72">
        <f>IF(COUNTIF('Raw — Apr 2026'!$V$3:$V$10000,"&lt;&gt;")&gt;0,COUNTIF('Raw — Apr 2026'!$V$3:$V$10000,"File Missing")/COUNTIF('Raw — Apr 2026'!$V$3:$V$10000,"&lt;&gt;"),0)</f>
        <v/>
      </c>
      <c r="D9" s="15" t="inlineStr">
        <is>
          <t>New</t>
        </is>
      </c>
      <c r="E9" s="79" t="inlineStr"/>
    </row>
    <row r="10">
      <c r="A10" s="74" t="inlineStr">
        <is>
          <t>Unmatched raw data count</t>
        </is>
      </c>
      <c r="B10" s="18">
        <f>COUNTIF('Raw — Apr 2026'!$V$3:$V$10000,"Unmatched raw data count")</f>
        <v/>
      </c>
      <c r="C10" s="75">
        <f>IF(COUNTIF('Raw — Apr 2026'!$V$3:$V$10000,"&lt;&gt;")&gt;0,COUNTIF('Raw — Apr 2026'!$V$3:$V$10000,"Unmatched raw data count")/COUNTIF('Raw — Apr 2026'!$V$3:$V$10000,"&lt;&gt;"),0)</f>
        <v/>
      </c>
      <c r="D10" s="20" t="inlineStr">
        <is>
          <t>New</t>
        </is>
      </c>
      <c r="E10" s="80" t="inlineStr"/>
    </row>
    <row r="11">
      <c r="A11" s="71" t="inlineStr">
        <is>
          <t>Pipeline Schedule</t>
        </is>
      </c>
      <c r="B11" s="13">
        <f>COUNTIF('Raw — Apr 2026'!$V$3:$V$10000,"Pipeline Schedule")</f>
        <v/>
      </c>
      <c r="C11" s="72">
        <f>IF(COUNTIF('Raw — Apr 2026'!$V$3:$V$10000,"&lt;&gt;")&gt;0,COUNTIF('Raw — Apr 2026'!$V$3:$V$10000,"Pipeline Schedule")/COUNTIF('Raw — Apr 2026'!$V$3:$V$10000,"&lt;&gt;"),0)</f>
        <v/>
      </c>
      <c r="D11" s="15" t="inlineStr">
        <is>
          <t>New</t>
        </is>
      </c>
      <c r="E11" s="81" t="inlineStr"/>
    </row>
    <row r="12">
      <c r="A12" s="74" t="inlineStr">
        <is>
          <t>DB Issue</t>
        </is>
      </c>
      <c r="B12" s="18">
        <f>COUNTIF('Raw — Apr 2026'!$V$3:$V$10000,"DB Issue")</f>
        <v/>
      </c>
      <c r="C12" s="75">
        <f>IF(COUNTIF('Raw — Apr 2026'!$V$3:$V$10000,"&lt;&gt;")&gt;0,COUNTIF('Raw — Apr 2026'!$V$3:$V$10000,"DB Issue")/COUNTIF('Raw — Apr 2026'!$V$3:$V$10000,"&lt;&gt;"),0)</f>
        <v/>
      </c>
      <c r="D12" s="20" t="inlineStr">
        <is>
          <t>New</t>
        </is>
      </c>
      <c r="E12" s="82" t="inlineStr"/>
    </row>
    <row r="13">
      <c r="A13" s="71" t="inlineStr">
        <is>
          <t>Metric drop</t>
        </is>
      </c>
      <c r="B13" s="13">
        <f>COUNTIF('Raw — Apr 2026'!$V$3:$V$10000,"Metric drop")</f>
        <v/>
      </c>
      <c r="C13" s="72">
        <f>IF(COUNTIF('Raw — Apr 2026'!$V$3:$V$10000,"&lt;&gt;")&gt;0,COUNTIF('Raw — Apr 2026'!$V$3:$V$10000,"Metric drop")/COUNTIF('Raw — Apr 2026'!$V$3:$V$10000,"&lt;&gt;"),0)</f>
        <v/>
      </c>
      <c r="D13" s="15" t="inlineStr">
        <is>
          <t>New</t>
        </is>
      </c>
      <c r="E13" s="83" t="inlineStr"/>
    </row>
    <row r="14">
      <c r="A14" s="74" t="inlineStr">
        <is>
          <t>Schema issue</t>
        </is>
      </c>
      <c r="B14" s="18">
        <f>COUNTIF('Raw — Apr 2026'!$V$3:$V$10000,"Schema issue")</f>
        <v/>
      </c>
      <c r="C14" s="75">
        <f>IF(COUNTIF('Raw — Apr 2026'!$V$3:$V$10000,"&lt;&gt;")&gt;0,COUNTIF('Raw — Apr 2026'!$V$3:$V$10000,"Schema issue")/COUNTIF('Raw — Apr 2026'!$V$3:$V$10000,"&lt;&gt;"),0)</f>
        <v/>
      </c>
      <c r="D14" s="20" t="inlineStr">
        <is>
          <t>New</t>
        </is>
      </c>
      <c r="E14" s="84" t="inlineStr"/>
    </row>
    <row r="15">
      <c r="A15" s="71" t="inlineStr">
        <is>
          <t>Issue Platform</t>
        </is>
      </c>
      <c r="B15" s="13">
        <f>COUNTIF('Raw — Apr 2026'!$V$3:$V$10000,"Issue Platform")</f>
        <v/>
      </c>
      <c r="C15" s="72">
        <f>IF(COUNTIF('Raw — Apr 2026'!$V$3:$V$10000,"&lt;&gt;")&gt;0,COUNTIF('Raw — Apr 2026'!$V$3:$V$10000,"Issue Platform")/COUNTIF('Raw — Apr 2026'!$V$3:$V$10000,"&lt;&gt;"),0)</f>
        <v/>
      </c>
      <c r="D15" s="15" t="inlineStr">
        <is>
          <t>New</t>
        </is>
      </c>
      <c r="E15" s="85" t="inlineStr"/>
    </row>
    <row r="16">
      <c r="A16" s="74" t="inlineStr">
        <is>
          <t>Other</t>
        </is>
      </c>
      <c r="B16" s="18">
        <f>COUNTIF('Raw — Apr 2026'!$V$3:$V$10000,"Other")</f>
        <v/>
      </c>
      <c r="C16" s="75">
        <f>IF(COUNTIF('Raw — Apr 2026'!$V$3:$V$10000,"&lt;&gt;")&gt;0,COUNTIF('Raw — Apr 2026'!$V$3:$V$10000,"Other")/COUNTIF('Raw — Apr 2026'!$V$3:$V$10000,"&lt;&gt;"),0)</f>
        <v/>
      </c>
      <c r="D16" s="20" t="inlineStr">
        <is>
          <t>New</t>
        </is>
      </c>
      <c r="E16" s="86" t="inlineStr"/>
    </row>
    <row r="17">
      <c r="A17" s="87" t="inlineStr">
        <is>
          <t>Monthly Total</t>
        </is>
      </c>
      <c r="B17" s="13">
        <f>SUM(B5:B16)</f>
        <v/>
      </c>
      <c r="C17" s="88" t="inlineStr">
        <is>
          <t>100%</t>
        </is>
      </c>
      <c r="D17" s="89" t="inlineStr"/>
      <c r="E17" s="89" t="inlineStr"/>
    </row>
  </sheetData>
  <mergeCells count="1">
    <mergeCell ref="A1:F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88"/>
  <sheetViews>
    <sheetView showGridLines="0" workbookViewId="0">
      <pane ySplit="3" topLeftCell="A4" activePane="bottomLeft" state="frozen"/>
      <selection pane="bottomLeft" activeCell="A1" sqref="A1"/>
    </sheetView>
  </sheetViews>
  <sheetFormatPr baseColWidth="8" defaultRowHeight="15"/>
  <cols>
    <col width="14" customWidth="1" min="1" max="1"/>
    <col width="42" customWidth="1" min="2" max="2"/>
    <col width="38" customWidth="1" min="3" max="3"/>
    <col width="32" customWidth="1" min="4" max="4"/>
    <col width="28" customWidth="1" min="5" max="5"/>
    <col width="12" customWidth="1" min="6" max="6"/>
    <col width="12" customWidth="1" min="7" max="7"/>
  </cols>
  <sheetData>
    <row r="1" ht="26" customHeight="1">
      <c r="A1" s="90" t="inlineStr">
        <is>
          <t>Needs Review — 83 uncategorized tickets</t>
        </is>
      </c>
    </row>
    <row r="2" ht="18" customHeight="1">
      <c r="A2" s="91">
        <f>"Needs Review count: "&amp;COUNTIF('Raw — Apr 2026'!$V$3:$V$10000,"Other")&amp;" — Change category in Raw Tickets tab, then re-run to refresh this list"</f>
        <v/>
      </c>
    </row>
    <row r="3" ht="20" customHeight="1">
      <c r="A3" s="92" t="inlineStr">
        <is>
          <t>Key</t>
        </is>
      </c>
      <c r="B3" s="92" t="inlineStr">
        <is>
          <t>Summary</t>
        </is>
      </c>
      <c r="C3" s="92" t="inlineStr">
        <is>
          <t>Description</t>
        </is>
      </c>
      <c r="D3" s="92" t="inlineStr">
        <is>
          <t>Comment</t>
        </is>
      </c>
      <c r="E3" s="92" t="inlineStr">
        <is>
          <t>Close Notes</t>
        </is>
      </c>
      <c r="F3" s="92" t="inlineStr">
        <is>
          <t>Status</t>
        </is>
      </c>
      <c r="G3" s="92" t="inlineStr">
        <is>
          <t>Created</t>
        </is>
      </c>
    </row>
    <row r="4" ht="40" customHeight="1">
      <c r="A4" s="93" t="inlineStr">
        <is>
          <t>IT-3020610</t>
        </is>
      </c>
      <c r="B4" s="94" t="inlineStr">
        <is>
          <t>Update the tracker with the newly deployed History Lean Ingestion pipelines for DevotedHealth that are now live in production.</t>
        </is>
      </c>
      <c r="C4" s="94"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D4" s="94" t="inlineStr"/>
      <c r="E4" s="94" t="inlineStr">
        <is>
          <t>Details recorded accordingly.</t>
        </is>
      </c>
      <c r="F4" s="93" t="inlineStr">
        <is>
          <t>Closed</t>
        </is>
      </c>
      <c r="G4" s="93" t="inlineStr">
        <is>
          <t>2026-04-29</t>
        </is>
      </c>
    </row>
    <row r="5" ht="40" customHeight="1">
      <c r="A5" s="95" t="inlineStr">
        <is>
          <t>IT-3019608</t>
        </is>
      </c>
      <c r="B5" s="96" t="inlineStr">
        <is>
          <t>Pipeline: dm-amerihealth-results-actian_migration_claims_detail | Data Date: 2026/04/28 | Failure</t>
        </is>
      </c>
      <c r="C5" s="96"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D5" s="96" t="inlineStr">
        <is>
          <t>Hi Enid Ike pipeline completed Thanks Satish Devatha</t>
        </is>
      </c>
      <c r="E5" s="96" t="inlineStr">
        <is>
          <t>pipeline completed</t>
        </is>
      </c>
      <c r="F5" s="95" t="inlineStr">
        <is>
          <t>Closed</t>
        </is>
      </c>
      <c r="G5" s="95" t="inlineStr">
        <is>
          <t>2026-04-28</t>
        </is>
      </c>
    </row>
    <row r="6" ht="40" customHeight="1">
      <c r="A6" s="93" t="inlineStr">
        <is>
          <t>IT-3018019</t>
        </is>
      </c>
      <c r="B6" s="94" t="inlineStr">
        <is>
          <t>Optumcare RCCV Professional Prod Transition Documents</t>
        </is>
      </c>
      <c r="C6" s="94"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D6" s="94" t="inlineStr"/>
      <c r="E6" s="94" t="inlineStr">
        <is>
          <t>Documents reviewed, Details reviewed and recorded and transition scheduled for today.</t>
        </is>
      </c>
      <c r="F6" s="93" t="inlineStr">
        <is>
          <t>Closed</t>
        </is>
      </c>
      <c r="G6" s="93" t="inlineStr">
        <is>
          <t>2026-04-28</t>
        </is>
      </c>
    </row>
    <row r="7" ht="40" customHeight="1">
      <c r="A7" s="95" t="inlineStr">
        <is>
          <t>IT-3017668</t>
        </is>
      </c>
      <c r="B7" s="96" t="inlineStr">
        <is>
          <t>UHC PNICE Transition</t>
        </is>
      </c>
      <c r="C7" s="96" t="inlineStr">
        <is>
          <t>UHC PNICE Transition</t>
        </is>
      </c>
      <c r="D7" s="96" t="inlineStr"/>
      <c r="E7" s="96" t="inlineStr">
        <is>
          <t>Details recorded after reviewing the documents.</t>
        </is>
      </c>
      <c r="F7" s="95" t="inlineStr">
        <is>
          <t>Closed</t>
        </is>
      </c>
      <c r="G7" s="95" t="inlineStr">
        <is>
          <t>2026-04-28</t>
        </is>
      </c>
    </row>
    <row r="8" ht="40" customHeight="1">
      <c r="A8" s="93" t="inlineStr">
        <is>
          <t>IT-3017655</t>
        </is>
      </c>
      <c r="B8" s="94" t="inlineStr">
        <is>
          <t>Production Transition - Tufts-Diamond</t>
        </is>
      </c>
      <c r="C8" s="94" t="inlineStr">
        <is>
          <t>Production Transition - Tufts-Diamond RCCV 2 pipelines Inpatient &amp; Iphistory</t>
        </is>
      </c>
      <c r="D8" s="94" t="inlineStr">
        <is>
          <t>Waiting for the transition. also, the feedback fixes.</t>
        </is>
      </c>
      <c r="E8" s="94" t="inlineStr"/>
      <c r="F8" s="93" t="inlineStr">
        <is>
          <t>On Hold</t>
        </is>
      </c>
      <c r="G8" s="93" t="inlineStr">
        <is>
          <t>2026-04-28</t>
        </is>
      </c>
    </row>
    <row r="9" ht="40" customHeight="1">
      <c r="A9" s="95" t="inlineStr">
        <is>
          <t>IT-3017569</t>
        </is>
      </c>
      <c r="B9" s="96" t="inlineStr">
        <is>
          <t>Nile NAS spooler failures</t>
        </is>
      </c>
      <c r="C9" s="96" t="inlineStr">
        <is>
          <t>Nile NAS spooler failures Effected clients: caloptima -tba geisinger -tba triples - qnxttricm Carefirst Aetna HRP</t>
        </is>
      </c>
      <c r="D9" s="96" t="inlineStr">
        <is>
          <t>Duplicate ticket created.</t>
        </is>
      </c>
      <c r="E9" s="96" t="inlineStr"/>
      <c r="F9" s="95" t="inlineStr">
        <is>
          <t>Cancelled</t>
        </is>
      </c>
      <c r="G9" s="95" t="inlineStr">
        <is>
          <t>2026-04-28</t>
        </is>
      </c>
    </row>
    <row r="10" ht="40" customHeight="1">
      <c r="A10" s="93" t="inlineStr">
        <is>
          <t>IT-3017053</t>
        </is>
      </c>
      <c r="B10" s="94" t="inlineStr">
        <is>
          <t>Request to add EDM's distro list to NILE's email notifications</t>
        </is>
      </c>
      <c r="C10" s="94" t="inlineStr">
        <is>
          <t>Hi Nile Prod Support team. Please add EDM’s distribution list to NILE’s ingestion report email notifications (see sample attached). EDM’s distribution list for each client is also attached.</t>
        </is>
      </c>
      <c r="D10" s="94"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E10" s="94" t="inlineStr"/>
      <c r="F10" s="93" t="inlineStr">
        <is>
          <t>On Hold</t>
        </is>
      </c>
      <c r="G10" s="93" t="inlineStr">
        <is>
          <t>2026-04-27</t>
        </is>
      </c>
    </row>
    <row r="11" ht="40" customHeight="1">
      <c r="A11" s="95" t="inlineStr">
        <is>
          <t>IT-3016920</t>
        </is>
      </c>
      <c r="B11" s="96" t="inlineStr">
        <is>
          <t>Copy files From Nile Prod Raw path to Nile QC Raw path - Aetna Trad</t>
        </is>
      </c>
      <c r="C11" s="96"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1" s="96" t="inlineStr">
        <is>
          <t>Files Copied</t>
        </is>
      </c>
      <c r="E11" s="96" t="inlineStr">
        <is>
          <t>Files Copied</t>
        </is>
      </c>
      <c r="F11" s="95" t="inlineStr">
        <is>
          <t>Closed</t>
        </is>
      </c>
      <c r="G11" s="95" t="inlineStr">
        <is>
          <t>2026-04-27</t>
        </is>
      </c>
    </row>
    <row r="12" ht="40" customHeight="1">
      <c r="A12" s="93" t="inlineStr">
        <is>
          <t>IT-3016913</t>
        </is>
      </c>
      <c r="B12" s="94" t="inlineStr">
        <is>
          <t>Copy files From Nile Prod Raw path to Nile QC Raw path - Aetna Trad</t>
        </is>
      </c>
      <c r="C12" s="94"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2" s="94" t="inlineStr">
        <is>
          <t>Files are already copied</t>
        </is>
      </c>
      <c r="E12" s="94" t="inlineStr">
        <is>
          <t>Files are already copied</t>
        </is>
      </c>
      <c r="F12" s="93" t="inlineStr">
        <is>
          <t>Closed</t>
        </is>
      </c>
      <c r="G12" s="93" t="inlineStr">
        <is>
          <t>2026-04-27</t>
        </is>
      </c>
    </row>
    <row r="13" ht="40" customHeight="1">
      <c r="A13" s="95" t="inlineStr">
        <is>
          <t>IT-3016136</t>
        </is>
      </c>
      <c r="B13" s="96" t="inlineStr">
        <is>
          <t>Update spooler name</t>
        </is>
      </c>
      <c r="C13" s="96" t="inlineStr">
        <is>
          <t>Hi Team, Could you please update the spooler name in prod? Before : Wellcare-Wellcare_Actian_PBM_MTH_notouch New name : Wellcare-Wellcare_notouch Thank you!</t>
        </is>
      </c>
      <c r="D13" s="96" t="inlineStr">
        <is>
          <t>Hi Varghese, Shilpa Anna updated the spooler name Thanks</t>
        </is>
      </c>
      <c r="E13" s="96" t="inlineStr">
        <is>
          <t>Updated Spooler name</t>
        </is>
      </c>
      <c r="F13" s="95" t="inlineStr">
        <is>
          <t>Closed</t>
        </is>
      </c>
      <c r="G13" s="95" t="inlineStr">
        <is>
          <t>2026-04-27</t>
        </is>
      </c>
    </row>
    <row r="14" ht="40" customHeight="1">
      <c r="A14" s="93" t="inlineStr">
        <is>
          <t>IT-3016120</t>
        </is>
      </c>
      <c r="B14" s="94" t="inlineStr">
        <is>
          <t>Move two Aetna Trad files to different folders</t>
        </is>
      </c>
      <c r="C14" s="94"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D14" s="94" t="inlineStr">
        <is>
          <t>Hi Maguire, Patrick Files moved and updated permissions too please verify</t>
        </is>
      </c>
      <c r="E14" s="94" t="inlineStr">
        <is>
          <t>Files moved and updated permissions too</t>
        </is>
      </c>
      <c r="F14" s="93" t="inlineStr">
        <is>
          <t>Closed</t>
        </is>
      </c>
      <c r="G14" s="93" t="inlineStr">
        <is>
          <t>2026-04-27</t>
        </is>
      </c>
    </row>
    <row r="15" ht="40" customHeight="1">
      <c r="A15" s="95" t="inlineStr">
        <is>
          <t>IT-3016008</t>
        </is>
      </c>
      <c r="B15" s="96" t="inlineStr">
        <is>
          <t>Requesting information for Cigna Gross ID amount dataset</t>
        </is>
      </c>
      <c r="C15" s="96" t="inlineStr">
        <is>
          <t>We are looking to learn information on Cigna Gross ID amount dataset as it relates to if it is provided to Nile and if so how and where it can accessed.</t>
        </is>
      </c>
      <c r="D15" s="96" t="inlineStr"/>
      <c r="E15" s="96" t="inlineStr"/>
      <c r="F15" s="95" t="inlineStr">
        <is>
          <t>In Progress (HD1)</t>
        </is>
      </c>
      <c r="G15" s="95" t="inlineStr">
        <is>
          <t>2026-04-27</t>
        </is>
      </c>
    </row>
    <row r="16" ht="40" customHeight="1">
      <c r="A16" s="93" t="inlineStr">
        <is>
          <t>IT-3015029</t>
        </is>
      </c>
      <c r="B16" s="94" t="inlineStr">
        <is>
          <t>Removing unused spoolers with a retention period of ‘-1’ from the production environment.</t>
        </is>
      </c>
      <c r="C16" s="94"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D16" s="94" t="inlineStr">
        <is>
          <t>Deleted date: 22-04-2026</t>
        </is>
      </c>
      <c r="E16" s="94" t="inlineStr">
        <is>
          <t>Removed the unused spoolers.</t>
        </is>
      </c>
      <c r="F16" s="93" t="inlineStr">
        <is>
          <t>Closed</t>
        </is>
      </c>
      <c r="G16" s="93" t="inlineStr">
        <is>
          <t>2026-04-27</t>
        </is>
      </c>
    </row>
    <row r="17" ht="40" customHeight="1">
      <c r="A17" s="95" t="inlineStr">
        <is>
          <t>IT-3012722</t>
        </is>
      </c>
      <c r="B17" s="96" t="inlineStr">
        <is>
          <t>rccv-cignamedicare-facets-tba_institutional_claims_custom_GDF2_5_CDF2_5 for May 2025 ingestion..</t>
        </is>
      </c>
      <c r="C17" s="96"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D17" s="96" t="inlineStr">
        <is>
          <t>Hi Suryani, Melly Thanks for running latest version v1.9 pipeline Thanks Satish Devatha</t>
        </is>
      </c>
      <c r="E17" s="96" t="inlineStr"/>
      <c r="F17" s="95" t="inlineStr">
        <is>
          <t>In Progress (HD1)</t>
        </is>
      </c>
      <c r="G17" s="95" t="inlineStr">
        <is>
          <t>2026-04-24</t>
        </is>
      </c>
    </row>
    <row r="18" ht="40" customHeight="1">
      <c r="A18" s="93" t="inlineStr">
        <is>
          <t>IT-3011925</t>
        </is>
      </c>
      <c r="B18" s="94" t="inlineStr">
        <is>
          <t>BCSAL and BCPAL files not seen in CAT for production of the audit selection report</t>
        </is>
      </c>
      <c r="C18" s="94" t="inlineStr">
        <is>
          <t>Payer short BCSAL and BCPAL files were received by the client (RCA file) and ready for production on 4/7, however the files are still not visible in the CAT tool for the selections team to create the audit selection report. Not sure where the files are.</t>
        </is>
      </c>
      <c r="D18" s="94"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E18" s="94" t="inlineStr"/>
      <c r="F18" s="93" t="inlineStr">
        <is>
          <t>On Hold</t>
        </is>
      </c>
      <c r="G18" s="93" t="inlineStr">
        <is>
          <t>2026-04-24</t>
        </is>
      </c>
    </row>
    <row r="19" ht="40" customHeight="1">
      <c r="A19" s="95" t="inlineStr">
        <is>
          <t>IT-3011918</t>
        </is>
      </c>
      <c r="B19" s="96" t="inlineStr">
        <is>
          <t>BCSAL and BCPAL files not seen in CAT for production of the audit selection report</t>
        </is>
      </c>
      <c r="C19" s="96" t="inlineStr">
        <is>
          <t>Hi, for payer shorts BCSAL and BCPA the files were received by RCA and ready for production on 4/7, however they are not showing in the CAT tool for the selections team to produce the audit selection report. Need to know where the files are.</t>
        </is>
      </c>
      <c r="D19" s="96" t="inlineStr">
        <is>
          <t>moving to Nile per engineer not for CRS Support This is not with Nile - I'm not sure yet how we should proceed.</t>
        </is>
      </c>
      <c r="E19" s="96" t="inlineStr"/>
      <c r="F19" s="95" t="inlineStr">
        <is>
          <t>On Hold</t>
        </is>
      </c>
      <c r="G19" s="95" t="inlineStr">
        <is>
          <t>2026-04-24</t>
        </is>
      </c>
    </row>
    <row r="20" ht="40" customHeight="1">
      <c r="A20" s="93" t="inlineStr">
        <is>
          <t>IT-3011677</t>
        </is>
      </c>
      <c r="B20" s="94" t="inlineStr">
        <is>
          <t>Please confirm if RCA Engineering is receiving and ingesting the SIU Weekly Provider Report Geisinger sends us via SFTP that is an exclusion file for our teams.</t>
        </is>
      </c>
      <c r="C20" s="94"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D20" s="94"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E20" s="94" t="inlineStr">
        <is>
          <t>Provided the requestor's analysis in the comments which included comparing 4 SFTP files against files received from email</t>
        </is>
      </c>
      <c r="F20" s="93" t="inlineStr">
        <is>
          <t>Closed</t>
        </is>
      </c>
      <c r="G20" s="93" t="inlineStr">
        <is>
          <t>2026-04-24</t>
        </is>
      </c>
    </row>
    <row r="21" ht="40" customHeight="1">
      <c r="A21" s="95" t="inlineStr">
        <is>
          <t>IT-3009815</t>
        </is>
      </c>
      <c r="B21" s="96" t="inlineStr">
        <is>
          <t>Centene PCCV MI MCD Expansion Prod Transition Documents Review</t>
        </is>
      </c>
      <c r="C21" s="96" t="inlineStr">
        <is>
          <t>Please review the prod transition checklist documents for Centene PCCV MI MCD Expansion and let us know if any changes are needed. Creating this ticket as a placeholder. Will update ticket with document links once complete.</t>
        </is>
      </c>
      <c r="D21" s="96" t="inlineStr">
        <is>
          <t>Awaiting documents.</t>
        </is>
      </c>
      <c r="E21" s="96" t="inlineStr"/>
      <c r="F21" s="95" t="inlineStr">
        <is>
          <t>On Hold</t>
        </is>
      </c>
      <c r="G21" s="95" t="inlineStr">
        <is>
          <t>2026-04-23</t>
        </is>
      </c>
    </row>
    <row r="22" ht="40" customHeight="1">
      <c r="A22" s="93" t="inlineStr">
        <is>
          <t>IT-3008305</t>
        </is>
      </c>
      <c r="B22" s="94" t="inlineStr">
        <is>
          <t>Update the tracker with the newly deployed History and TBA Lean Ingestion pipelines for Oscar-Homegrown that are now live in production.</t>
        </is>
      </c>
      <c r="C22" s="94"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D22" s="94" t="inlineStr"/>
      <c r="E22" s="94" t="inlineStr">
        <is>
          <t>Details recorded accordingly.</t>
        </is>
      </c>
      <c r="F22" s="93" t="inlineStr">
        <is>
          <t>Closed</t>
        </is>
      </c>
      <c r="G22" s="93" t="inlineStr">
        <is>
          <t>2026-04-23</t>
        </is>
      </c>
    </row>
    <row r="23" ht="40" customHeight="1">
      <c r="A23" s="95" t="inlineStr">
        <is>
          <t>IT-3007910</t>
        </is>
      </c>
      <c r="B23" s="96" t="inlineStr">
        <is>
          <t>WellCare RCA ARK Client Transition.</t>
        </is>
      </c>
      <c r="C23" s="96" t="inlineStr">
        <is>
          <t>WellCare RCA ARK Client Transition.</t>
        </is>
      </c>
      <c r="D23" s="96" t="inlineStr"/>
      <c r="E23" s="96" t="inlineStr">
        <is>
          <t>Transition Completed successfully.</t>
        </is>
      </c>
      <c r="F23" s="95" t="inlineStr">
        <is>
          <t>Closed</t>
        </is>
      </c>
      <c r="G23" s="95" t="inlineStr">
        <is>
          <t>2026-04-23</t>
        </is>
      </c>
    </row>
    <row r="24" ht="40" customHeight="1">
      <c r="A24" s="93" t="inlineStr">
        <is>
          <t>IT-3007255</t>
        </is>
      </c>
      <c r="B24" s="94" t="inlineStr">
        <is>
          <t>Copy 2 Aetna Trad files from dataingestionprod/ to dataingestiondev/</t>
        </is>
      </c>
      <c r="C24" s="94" t="inlineStr">
        <is>
          <t>Hello, I would like to copy 2 files from dataingestionprod/ to dataingestiondev/ in HDFS. Server is nile prod. Please see attached for files and copy destinations. Ping me with any questions. Thank you.</t>
        </is>
      </c>
      <c r="D24" s="94" t="inlineStr">
        <is>
          <t>Data request - monthly Provider and Member files - Aenta Trad.xlsx (11 kB) Hi Maguire, Patrick Files copied please verify Thanks</t>
        </is>
      </c>
      <c r="E24" s="94" t="inlineStr">
        <is>
          <t>Files Copied</t>
        </is>
      </c>
      <c r="F24" s="93" t="inlineStr">
        <is>
          <t>Closed</t>
        </is>
      </c>
      <c r="G24" s="93" t="inlineStr">
        <is>
          <t>2026-04-22</t>
        </is>
      </c>
    </row>
    <row r="25" ht="40" customHeight="1">
      <c r="A25" s="95" t="inlineStr">
        <is>
          <t>IT-3005937</t>
        </is>
      </c>
      <c r="B25" s="96" t="inlineStr">
        <is>
          <t>Please add these two pipelines in the tracking sheet..</t>
        </is>
      </c>
      <c r="C25" s="96"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D25" s="96" t="inlineStr"/>
      <c r="E25" s="96" t="inlineStr">
        <is>
          <t>Updated the details in tracker.</t>
        </is>
      </c>
      <c r="F25" s="95" t="inlineStr">
        <is>
          <t>Closed</t>
        </is>
      </c>
      <c r="G25" s="95" t="inlineStr">
        <is>
          <t>2026-04-22</t>
        </is>
      </c>
    </row>
    <row r="26" ht="40" customHeight="1">
      <c r="A26" s="93" t="inlineStr">
        <is>
          <t>IT-3005392</t>
        </is>
      </c>
      <c r="B26" s="94" t="inlineStr">
        <is>
          <t>HCSC_BackFill_Set_1_files process.</t>
        </is>
      </c>
      <c r="C26" s="94" t="inlineStr"/>
      <c r="D26" s="94" t="inlineStr">
        <is>
          <t>we already proceed the set1 files and completed.</t>
        </is>
      </c>
      <c r="E26" s="94" t="inlineStr">
        <is>
          <t>we got the confirmation from the user and closed this ticket.</t>
        </is>
      </c>
      <c r="F26" s="93" t="inlineStr">
        <is>
          <t>Closed</t>
        </is>
      </c>
      <c r="G26" s="93" t="inlineStr">
        <is>
          <t>2026-04-22</t>
        </is>
      </c>
    </row>
    <row r="27" ht="40" customHeight="1">
      <c r="A27" s="95" t="inlineStr">
        <is>
          <t>IT-3005387</t>
        </is>
      </c>
      <c r="B27" s="96" t="inlineStr">
        <is>
          <t>[harvardpilgrim - ohi]-Update prechecks for BMC and publish all the child pipelines.</t>
        </is>
      </c>
      <c r="C27" s="96" t="inlineStr">
        <is>
          <t>Update precheck with pipeline version as latest and remove all the unnecessary parameters from the pipeline. Publish all the child pipelines and modify subscribe BMC pipeline versions to latest.</t>
        </is>
      </c>
      <c r="D27" s="96" t="inlineStr">
        <is>
          <t>I have implemented the BMC optimization for the clients assigned to me.</t>
        </is>
      </c>
      <c r="E27" s="96" t="inlineStr">
        <is>
          <t>I have implemented the BMC optimization for the clients assigned to me.</t>
        </is>
      </c>
      <c r="F27" s="95" t="inlineStr">
        <is>
          <t>Closed</t>
        </is>
      </c>
      <c r="G27" s="95" t="inlineStr">
        <is>
          <t>2026-04-22</t>
        </is>
      </c>
    </row>
    <row r="28" ht="40" customHeight="1">
      <c r="A28" s="93" t="inlineStr">
        <is>
          <t>IT-3005308</t>
        </is>
      </c>
      <c r="B28" s="94" t="inlineStr">
        <is>
          <t>OLA Configuration Changes and Monitoring on cigna-cghb-rca-prepay</t>
        </is>
      </c>
      <c r="C28" s="94" t="inlineStr">
        <is>
          <t>I have made configuration changes in OLA, including adding buffer time. I will monitor a few executions and confirm that the changes are working as expected.</t>
        </is>
      </c>
      <c r="D28" s="94"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E28" s="94" t="inlineStr"/>
      <c r="F28" s="93" t="inlineStr">
        <is>
          <t>On Hold</t>
        </is>
      </c>
      <c r="G28" s="93" t="inlineStr">
        <is>
          <t>2026-04-22</t>
        </is>
      </c>
    </row>
    <row r="29" ht="40" customHeight="1">
      <c r="A29" s="95" t="inlineStr">
        <is>
          <t>IT-3005302</t>
        </is>
      </c>
      <c r="B29" s="96" t="inlineStr">
        <is>
          <t>OLA Configuration Changes and Monitoring on Securityhealth - qnxt</t>
        </is>
      </c>
      <c r="C29" s="96" t="inlineStr">
        <is>
          <t>I have made configuration changes in OLA, including adding buffer time. I will monitor a few executions and confirm that the changes are working as expected.</t>
        </is>
      </c>
      <c r="D29" s="96"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E29" s="96" t="inlineStr"/>
      <c r="F29" s="95" t="inlineStr">
        <is>
          <t>On Hold</t>
        </is>
      </c>
      <c r="G29" s="95" t="inlineStr">
        <is>
          <t>2026-04-22</t>
        </is>
      </c>
    </row>
    <row r="30" ht="40" customHeight="1">
      <c r="A30" s="93" t="inlineStr">
        <is>
          <t>IT-3004277</t>
        </is>
      </c>
      <c r="B30" s="94" t="inlineStr">
        <is>
          <t>Copy data from QC hdfs to Dev hdfs - Nile</t>
        </is>
      </c>
      <c r="C30" s="94"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D30" s="94"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E30" s="94" t="inlineStr">
        <is>
          <t>Data Copied</t>
        </is>
      </c>
      <c r="F30" s="93" t="inlineStr">
        <is>
          <t>Closed</t>
        </is>
      </c>
      <c r="G30" s="93" t="inlineStr">
        <is>
          <t>2026-04-21</t>
        </is>
      </c>
    </row>
    <row r="31" ht="40" customHeight="1">
      <c r="A31" s="95" t="inlineStr">
        <is>
          <t>IT-3004275</t>
        </is>
      </c>
      <c r="B31" s="96" t="inlineStr">
        <is>
          <t>Please schedule the spooler accentsep-sodexo-inc96L3-CDL</t>
        </is>
      </c>
      <c r="C31" s="96" t="inlineStr">
        <is>
          <t>Please schedule the spooler accentsep-sodexo-inc96L3-CDL . This is monthly file. we will get file from the client between 10th to 20th of the month.</t>
        </is>
      </c>
      <c r="D31" s="96" t="inlineStr">
        <is>
          <t>Scheduled Run every hour between 10th and 20th of the month. 0 0/1 10-20 * * Will followup again see if it works in May. Pipeline is not schedule accent-separation-anthem-Sodexo-inc96L3-CDL Pipeline accent-separation-anthem-Sodexo-inc96L3-CDL Also scheduled: 5/1 * 10-20 * *</t>
        </is>
      </c>
      <c r="E31" s="96" t="inlineStr">
        <is>
          <t>both spooler and pipeline scheduled</t>
        </is>
      </c>
      <c r="F31" s="95" t="inlineStr">
        <is>
          <t>Closed</t>
        </is>
      </c>
      <c r="G31" s="95" t="inlineStr">
        <is>
          <t>2026-04-21</t>
        </is>
      </c>
    </row>
    <row r="32" ht="40" customHeight="1">
      <c r="A32" s="93" t="inlineStr">
        <is>
          <t>IT-3001908</t>
        </is>
      </c>
      <c r="B32" s="94" t="inlineStr">
        <is>
          <t>BCBS_AL COMM - Suspend Pharmacy pipeline</t>
        </is>
      </c>
      <c r="C32" s="94" t="inlineStr">
        <is>
          <t>Hello, Please shut down BCBS_AL COMM Pharmacy pipeline: prod - dm-bcbsalcomm-custom-actian_migration_pharmacy Because the client will no longer be sending this file. Thank you</t>
        </is>
      </c>
      <c r="D32" s="94"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E32" s="94" t="inlineStr">
        <is>
          <t>dm-bcbsalcomm-custom-actian_migration_pharmacy pipelines have been suspended and the rest of the files have been ingested.</t>
        </is>
      </c>
      <c r="F32" s="93" t="inlineStr">
        <is>
          <t>Closed</t>
        </is>
      </c>
      <c r="G32" s="93" t="inlineStr">
        <is>
          <t>2026-04-20</t>
        </is>
      </c>
    </row>
    <row r="33" ht="40" customHeight="1">
      <c r="A33" s="95" t="inlineStr">
        <is>
          <t>IT-3001338</t>
        </is>
      </c>
      <c r="B33" s="96" t="inlineStr">
        <is>
          <t>Copy files From Nile Prod Raw path to Nile QC Raw path - UHC-CSP</t>
        </is>
      </c>
      <c r="C33" s="96"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D33" s="96" t="inlineStr">
        <is>
          <t>Hi Pati, Jagadeesh Chandra Files copied please verify</t>
        </is>
      </c>
      <c r="E33" s="96" t="inlineStr">
        <is>
          <t>Files Copied</t>
        </is>
      </c>
      <c r="F33" s="95" t="inlineStr">
        <is>
          <t>Closed</t>
        </is>
      </c>
      <c r="G33" s="95" t="inlineStr">
        <is>
          <t>2026-04-20</t>
        </is>
      </c>
    </row>
    <row r="34" ht="40" customHeight="1">
      <c r="A34" s="93" t="inlineStr">
        <is>
          <t>IT-3001212</t>
        </is>
      </c>
      <c r="B34" s="94" t="inlineStr">
        <is>
          <t>Copy files From Nile Prod Raw path to Nile QC Raw path - Aetna Trad</t>
        </is>
      </c>
      <c r="C34" s="94"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34" s="94" t="inlineStr">
        <is>
          <t>Hi Shivalingu, Naveen Files copied please verify Thanks Satish Devatha</t>
        </is>
      </c>
      <c r="E34" s="94" t="inlineStr">
        <is>
          <t>Files Copied</t>
        </is>
      </c>
      <c r="F34" s="93" t="inlineStr">
        <is>
          <t>Closed</t>
        </is>
      </c>
      <c r="G34" s="93" t="inlineStr">
        <is>
          <t>2026-04-20</t>
        </is>
      </c>
    </row>
    <row r="35" ht="40" customHeight="1">
      <c r="A35" s="95" t="inlineStr">
        <is>
          <t>IT-3001086</t>
        </is>
      </c>
      <c r="B35" s="96" t="inlineStr">
        <is>
          <t>Subject: OSCAR no claim volume Importance: High</t>
        </is>
      </c>
      <c r="C35" s="96"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D35" s="96" t="inlineStr">
        <is>
          <t>I realized this was on the client side and shouldnt have created the ticket</t>
        </is>
      </c>
      <c r="E35" s="96" t="inlineStr"/>
      <c r="F35" s="95" t="inlineStr">
        <is>
          <t>Cancelled</t>
        </is>
      </c>
      <c r="G35" s="95" t="inlineStr">
        <is>
          <t>2026-04-20</t>
        </is>
      </c>
    </row>
    <row r="36" ht="40" customHeight="1">
      <c r="A36" s="93" t="inlineStr">
        <is>
          <t>IT-2999879</t>
        </is>
      </c>
      <c r="B36" s="94" t="inlineStr">
        <is>
          <t>Peer review for BMC workflow pipelines</t>
        </is>
      </c>
      <c r="C36" s="94" t="inlineStr">
        <is>
          <t>The above pipelines need to be verified.</t>
        </is>
      </c>
      <c r="D36" s="94" t="inlineStr">
        <is>
          <t>I have to check this ticket now. I have reviewed the bmc pipelines.</t>
        </is>
      </c>
      <c r="E36" s="94" t="inlineStr">
        <is>
          <t>I have reviewed the bmc pipelines.</t>
        </is>
      </c>
      <c r="F36" s="93" t="inlineStr">
        <is>
          <t>Closed</t>
        </is>
      </c>
      <c r="G36" s="93" t="inlineStr">
        <is>
          <t>2026-04-20</t>
        </is>
      </c>
    </row>
    <row r="37" ht="40" customHeight="1">
      <c r="A37" s="95" t="inlineStr">
        <is>
          <t>IT-2999839</t>
        </is>
      </c>
      <c r="B37" s="96" t="inlineStr">
        <is>
          <t>Updating the pre-checks for the BMC workflow pipelines.</t>
        </is>
      </c>
      <c r="C37" s="96" t="inlineStr">
        <is>
          <t>Updating the pre-checks to use the pipeline version as “Latest” instead of specific versions. This ensures that any pipelines with modifications and newly published versions will automatically be picked up and considered in the workflow going forward.</t>
        </is>
      </c>
      <c r="D37" s="96" t="inlineStr"/>
      <c r="E37" s="96" t="inlineStr">
        <is>
          <t>Updated all prechecks to the **Latest** version for the pipelines, published them, verified that all respective child pipelines are published, and proceeded with scheduling.</t>
        </is>
      </c>
      <c r="F37" s="95" t="inlineStr">
        <is>
          <t>Closed</t>
        </is>
      </c>
      <c r="G37" s="95" t="inlineStr">
        <is>
          <t>2026-04-20</t>
        </is>
      </c>
    </row>
    <row r="38" ht="40" customHeight="1">
      <c r="A38" s="93" t="inlineStr">
        <is>
          <t>IT-2997312</t>
        </is>
      </c>
      <c r="B38" s="94" t="inlineStr">
        <is>
          <t>Please Move Elist spooler to Event Based set up</t>
        </is>
      </c>
      <c r="C38" s="94" t="inlineStr">
        <is>
          <t>Please Move Elist spooler to Event Based set up. spooler name: accentsep-cigna-misc-pp-qet-elist File name : PP_QET_ELIST.*.zip.pgp</t>
        </is>
      </c>
      <c r="D38" s="94" t="inlineStr">
        <is>
          <t>Ticket closed as [EDI2-16806] Please Move Elist spooler to Event Based set up - R&amp;D Jira - WDC raised on DI board</t>
        </is>
      </c>
      <c r="E38" s="94" t="inlineStr"/>
      <c r="F38" s="93" t="inlineStr">
        <is>
          <t>Cancelled</t>
        </is>
      </c>
      <c r="G38" s="93" t="inlineStr">
        <is>
          <t>2026-04-17</t>
        </is>
      </c>
    </row>
    <row r="39" ht="40" customHeight="1">
      <c r="A39" s="95" t="inlineStr">
        <is>
          <t>IT-2996668</t>
        </is>
      </c>
      <c r="B39" s="96" t="inlineStr">
        <is>
          <t>BMC Pipelines Review and Precheck Verification list for 15 clients.</t>
        </is>
      </c>
      <c r="C39" s="96" t="inlineStr">
        <is>
          <t>Review all BMC pipelines for 20 clients, verify module association, check precheck configuration (latest option), and identify non-module workflow calls, and shared missing pipelines list. Give demo on how to work on the pipeline changes to one of the client.</t>
        </is>
      </c>
      <c r="D39" s="96" t="inlineStr">
        <is>
          <t>Listed all the required BMC pipeline list and precheck conditions in a doc. Gathered all the restricted and unrestricted clients and assigned the clients with triage team to work on pipeline enhancements.</t>
        </is>
      </c>
      <c r="E39" s="96" t="inlineStr">
        <is>
          <t>Listed all the bmc optimization pipelines with precheck and publish status. closing this ticket.</t>
        </is>
      </c>
      <c r="F39" s="95" t="inlineStr">
        <is>
          <t>Closed</t>
        </is>
      </c>
      <c r="G39" s="95" t="inlineStr">
        <is>
          <t>2026-04-17</t>
        </is>
      </c>
    </row>
    <row r="40" ht="40" customHeight="1">
      <c r="A40" s="93" t="inlineStr">
        <is>
          <t>IT-2995627</t>
        </is>
      </c>
      <c r="B40" s="94" t="inlineStr">
        <is>
          <t>adding 2 email list for HCSC and UHC Cirrus pipeline</t>
        </is>
      </c>
      <c r="C40" s="94" t="inlineStr">
        <is>
          <t>team, would you please help add EDM_RCA_UHC_CIRRUS@cotiviti.com to uhc cirrus nile ingestion failure email notification would you please help add EDM_RCA_HCSC@cotiviti.com to HCSC nile ingestion failure email notification Thanks</t>
        </is>
      </c>
      <c r="D40" s="94"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E40" s="94" t="inlineStr"/>
      <c r="F40" s="93" t="inlineStr">
        <is>
          <t>On Hold</t>
        </is>
      </c>
      <c r="G40" s="93" t="inlineStr">
        <is>
          <t>2026-04-16</t>
        </is>
      </c>
    </row>
    <row r="41" ht="40" customHeight="1">
      <c r="A41" s="95" t="inlineStr">
        <is>
          <t>IT-2994837</t>
        </is>
      </c>
      <c r="B41" s="96" t="inlineStr">
        <is>
          <t>Centene Amisys OLA Configurations.</t>
        </is>
      </c>
      <c r="C41" s="96" t="inlineStr">
        <is>
          <t>Centene Amisys OLA Configurations.</t>
        </is>
      </c>
      <c r="D41" s="96" t="inlineStr">
        <is>
          <t>Couple of OLA logs showing incorrect, Checked with engineering team. awaiting for an update.</t>
        </is>
      </c>
      <c r="E41" s="96" t="inlineStr">
        <is>
          <t>Configured as per the latest feature available.</t>
        </is>
      </c>
      <c r="F41" s="95" t="inlineStr">
        <is>
          <t>Closed</t>
        </is>
      </c>
      <c r="G41" s="95" t="inlineStr">
        <is>
          <t>2026-04-16</t>
        </is>
      </c>
    </row>
    <row r="42" ht="40" customHeight="1">
      <c r="A42" s="93" t="inlineStr">
        <is>
          <t>IT-2994825</t>
        </is>
      </c>
      <c r="B42" s="94" t="inlineStr">
        <is>
          <t>Caresource RCA OLA Configurations</t>
        </is>
      </c>
      <c r="C42" s="94" t="inlineStr">
        <is>
          <t>Caresource RCA OLA Configurations</t>
        </is>
      </c>
      <c r="D42" s="94" t="inlineStr">
        <is>
          <t>To check the results if working fine.</t>
        </is>
      </c>
      <c r="E42" s="94" t="inlineStr">
        <is>
          <t>Configured the OLA as per the new feature available.</t>
        </is>
      </c>
      <c r="F42" s="93" t="inlineStr">
        <is>
          <t>Closed</t>
        </is>
      </c>
      <c r="G42" s="93" t="inlineStr">
        <is>
          <t>2026-04-16</t>
        </is>
      </c>
    </row>
    <row r="43" ht="40" customHeight="1">
      <c r="A43" s="95" t="inlineStr">
        <is>
          <t>IT-2994792</t>
        </is>
      </c>
      <c r="B43" s="96" t="inlineStr">
        <is>
          <t>Decomission HAMP EPICTAPESTRY PPM</t>
        </is>
      </c>
      <c r="C43" s="96" t="inlineStr">
        <is>
          <t>Decomission HAMP EPICTAPESTRY PPM</t>
        </is>
      </c>
      <c r="D43" s="96" t="inlineStr">
        <is>
          <t>RE_ DAILY_ Missing File_ HAMP TBA professional File not received (20260405).msg</t>
        </is>
      </c>
      <c r="E43" s="96" t="inlineStr">
        <is>
          <t>Removed the pipeline and spoolers from the Nile application and tracker.</t>
        </is>
      </c>
      <c r="F43" s="95" t="inlineStr">
        <is>
          <t>Closed</t>
        </is>
      </c>
      <c r="G43" s="95" t="inlineStr">
        <is>
          <t>2026-04-16</t>
        </is>
      </c>
    </row>
    <row r="44" ht="40" customHeight="1">
      <c r="A44" s="93" t="inlineStr">
        <is>
          <t>IT-2992725</t>
        </is>
      </c>
      <c r="B44" s="94" t="inlineStr">
        <is>
          <t>Add [EDM_RCA_Fidelis@cotiviti.com] to the distribution list of new platform lineage report</t>
        </is>
      </c>
      <c r="C44" s="94" t="inlineStr">
        <is>
          <t>Hello Team , we do not receive lineage report for new platform fidelis for following. Member , Claim , Provider , NoTouch We receive lineage report only for PBM [prod - fideliscare - centene - claims - pharmacy]</t>
        </is>
      </c>
      <c r="D44" s="94"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E44" s="94" t="inlineStr"/>
      <c r="F44" s="93" t="inlineStr">
        <is>
          <t>On Hold</t>
        </is>
      </c>
      <c r="G44" s="93" t="inlineStr">
        <is>
          <t>2026-04-15</t>
        </is>
      </c>
    </row>
    <row r="45" ht="40" customHeight="1">
      <c r="A45" s="95" t="inlineStr">
        <is>
          <t>IT-2992632</t>
        </is>
      </c>
      <c r="B45" s="96" t="inlineStr">
        <is>
          <t>Please create a spooler and pipeline</t>
        </is>
      </c>
      <c r="C45" s="96"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D45" s="96" t="inlineStr">
        <is>
          <t>creeated spooler accentsep-sodexo-inc96L3-CDL Created pipeline: accent-separation-anthem-Sodexo-inc96L3-CDL</t>
        </is>
      </c>
      <c r="E45" s="96" t="inlineStr">
        <is>
          <t>Created a new spooler and new pipeline for ACCENT Verified file delivery and scheduled the spoolers and pipelines accordingly</t>
        </is>
      </c>
      <c r="F45" s="95" t="inlineStr">
        <is>
          <t>Closed</t>
        </is>
      </c>
      <c r="G45" s="95" t="inlineStr">
        <is>
          <t>2026-04-15</t>
        </is>
      </c>
    </row>
    <row r="46" ht="40" customHeight="1">
      <c r="A46" s="93" t="inlineStr">
        <is>
          <t>IT-2992309</t>
        </is>
      </c>
      <c r="B46" s="94" t="inlineStr">
        <is>
          <t>Urgent Request: The Kaiser team is missing the latest Dataload which should have a max claim_paid_date of 03/27/2026</t>
        </is>
      </c>
      <c r="C46" s="94"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D46" s="94" t="inlineStr">
        <is>
          <t>Closing. Per Melly S., should be in Nile Onboarding team. Not sure if IT-XXXXX tickets is the right forum for these tickets. Sajjan is working with operations to get this resolved. per comment: 15/Apr/26 5:14 PM EDT</t>
        </is>
      </c>
      <c r="E46" s="94" t="inlineStr"/>
      <c r="F46" s="93" t="inlineStr">
        <is>
          <t>Cancelled</t>
        </is>
      </c>
      <c r="G46" s="93" t="inlineStr">
        <is>
          <t>2026-04-15</t>
        </is>
      </c>
    </row>
    <row r="47" ht="40" customHeight="1">
      <c r="A47" s="95" t="inlineStr">
        <is>
          <t>IT-2992008</t>
        </is>
      </c>
      <c r="B47" s="96" t="inlineStr">
        <is>
          <t>BMC Pipelines Review and Precheck Verification list for 20 clients.</t>
        </is>
      </c>
      <c r="C47" s="96" t="inlineStr">
        <is>
          <t>Reviewed all BMC pipelines for 20 clients, verified module association, checked precheck configuration (latest option), identified non-module workflow calls, and shared missing pipelines with Krishna.</t>
        </is>
      </c>
      <c r="D47" s="96"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E47" s="96" t="inlineStr">
        <is>
          <t>I have provided list of bmc optimization pipelines and closed this ticket.</t>
        </is>
      </c>
      <c r="F47" s="95" t="inlineStr">
        <is>
          <t>Closed</t>
        </is>
      </c>
      <c r="G47" s="95" t="inlineStr">
        <is>
          <t>2026-04-15</t>
        </is>
      </c>
    </row>
    <row r="48" ht="40" customHeight="1">
      <c r="A48" s="93" t="inlineStr">
        <is>
          <t>IT-2991529</t>
        </is>
      </c>
      <c r="B48" s="94" t="inlineStr">
        <is>
          <t>Please Run These MCL Pipelines</t>
        </is>
      </c>
      <c r="C48" s="94"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D48" s="94" t="inlineStr">
        <is>
          <t>Hello Kamsetty, Sravani . I have reviewed the tables for these pipelines, and the data looks good. You can close this ticket. Thanks for your hard work! Mike Thanks for the confirmation, Closing the ticket.</t>
        </is>
      </c>
      <c r="E48" s="94" t="inlineStr">
        <is>
          <t>Files loaded successfully. Thanks for the confirmation, Closing the ticket.</t>
        </is>
      </c>
      <c r="F48" s="93" t="inlineStr">
        <is>
          <t>Closed</t>
        </is>
      </c>
      <c r="G48" s="93" t="inlineStr">
        <is>
          <t>2026-04-15</t>
        </is>
      </c>
    </row>
    <row r="49" ht="40" customHeight="1">
      <c r="A49" s="95" t="inlineStr">
        <is>
          <t>IT-2989822</t>
        </is>
      </c>
      <c r="B49" s="96" t="inlineStr">
        <is>
          <t>Please add Aetna ASH into Master Tracking Sheet</t>
        </is>
      </c>
      <c r="C49" s="96" t="inlineStr">
        <is>
          <t>Hi Jani, Would you mind adding Aetna ASH entries? I think we had a transition meeting on March 26th. Thx so much Jani melly</t>
        </is>
      </c>
      <c r="D49" s="96"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E49" s="96" t="inlineStr">
        <is>
          <t>Details recorded in a sheet</t>
        </is>
      </c>
      <c r="F49" s="95" t="inlineStr">
        <is>
          <t>Closed</t>
        </is>
      </c>
      <c r="G49" s="95" t="inlineStr">
        <is>
          <t>2026-04-14</t>
        </is>
      </c>
    </row>
    <row r="50" ht="40" customHeight="1">
      <c r="A50" s="93" t="inlineStr">
        <is>
          <t>IT-2989517</t>
        </is>
      </c>
      <c r="B50" s="94" t="inlineStr">
        <is>
          <t>Fidelis Centene : Weekly(Member/Claims/Provider) schedule update for NILE spooler with pipelines</t>
        </is>
      </c>
      <c r="C50" s="94"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D50" s="94"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E50" s="94"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F50" s="93" t="inlineStr">
        <is>
          <t>Closed</t>
        </is>
      </c>
      <c r="G50" s="93" t="inlineStr">
        <is>
          <t>2026-04-14</t>
        </is>
      </c>
    </row>
    <row r="51" ht="40" customHeight="1">
      <c r="A51" s="95" t="inlineStr">
        <is>
          <t>IT-2989515</t>
        </is>
      </c>
      <c r="B51" s="96" t="inlineStr">
        <is>
          <t>Pipeline: dm-uhc-cirrus-actian_migration_entity_cir_cladeny , Version: V1, Data Date: 2026/01/12 | Broadcasts via spark.sql.broadcastTimeout Error</t>
        </is>
      </c>
      <c r="C51" s="96" t="inlineStr">
        <is>
          <t>klhsakfljhsajkd.hflkdsjhfldskjfh;dskjhfn;dsklfndsjklfh</t>
        </is>
      </c>
      <c r="D51" s="96" t="inlineStr">
        <is>
          <t>testing. not needed. thank you</t>
        </is>
      </c>
      <c r="E51" s="96" t="inlineStr"/>
      <c r="F51" s="95" t="inlineStr">
        <is>
          <t>Cancelled</t>
        </is>
      </c>
      <c r="G51" s="95" t="inlineStr">
        <is>
          <t>2026-04-14</t>
        </is>
      </c>
    </row>
    <row r="52" ht="40" customHeight="1">
      <c r="A52" s="93" t="inlineStr">
        <is>
          <t>IT-2988798</t>
        </is>
      </c>
      <c r="B52" s="94" t="inlineStr">
        <is>
          <t>Unmatched mbr_enrollment raw data count | Pipeline: dm-centene-centene-actian_migration_member_enrollment Data Date: 2026/04/12 | Zero Ingested Row Count</t>
        </is>
      </c>
      <c r="C52" s="94"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D52" s="94" t="inlineStr">
        <is>
          <t>closing out ticket. Ticket not needed. Duplicate</t>
        </is>
      </c>
      <c r="E52" s="94" t="inlineStr">
        <is>
          <t>closing out ticket. Ticket not needed. Duplicate</t>
        </is>
      </c>
      <c r="F52" s="93" t="inlineStr">
        <is>
          <t>Closed</t>
        </is>
      </c>
      <c r="G52" s="93" t="inlineStr">
        <is>
          <t>2026-04-14</t>
        </is>
      </c>
    </row>
    <row r="53" ht="40" customHeight="1">
      <c r="A53" s="95" t="inlineStr">
        <is>
          <t>IT-2988716</t>
        </is>
      </c>
      <c r="B53" s="96" t="inlineStr">
        <is>
          <t>ARD-Prod Apr - 2026 Humana Retro Process</t>
        </is>
      </c>
      <c r="C53" s="96" t="inlineStr">
        <is>
          <t>ARD-Prod Apr - 2026 Humana Retro Process</t>
        </is>
      </c>
      <c r="D53" s="96"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E53" s="96" t="inlineStr">
        <is>
          <t>Generated files to Finance and send email to respective members Process complete.</t>
        </is>
      </c>
      <c r="F53" s="95" t="inlineStr">
        <is>
          <t>Closed</t>
        </is>
      </c>
      <c r="G53" s="95" t="inlineStr">
        <is>
          <t>2026-04-14</t>
        </is>
      </c>
    </row>
    <row r="54" ht="40" customHeight="1">
      <c r="A54" s="93" t="inlineStr">
        <is>
          <t>IT-2988711</t>
        </is>
      </c>
      <c r="B54" s="94" t="inlineStr">
        <is>
          <t>ARD-Prod: Run the UhCsp dups pipeline for Apr - 2026 (pulling Mar - 2026 data) RCA Job</t>
        </is>
      </c>
      <c r="C54" s="94" t="inlineStr">
        <is>
          <t>ARD-Prod: Run the UhCsp dups pipeline for Apr - 2026 (pulling Mar - 2026 data) RCA Job</t>
        </is>
      </c>
      <c r="D54" s="94"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E54" s="94" t="inlineStr">
        <is>
          <t>Step 4 Job Completed QA checks are done. Send email to respective members</t>
        </is>
      </c>
      <c r="F54" s="93" t="inlineStr">
        <is>
          <t>Closed</t>
        </is>
      </c>
      <c r="G54" s="93" t="inlineStr">
        <is>
          <t>2026-04-14</t>
        </is>
      </c>
    </row>
    <row r="55" ht="40" customHeight="1">
      <c r="A55" s="95" t="inlineStr">
        <is>
          <t>IT-2988581</t>
        </is>
      </c>
      <c r="B55" s="96" t="inlineStr">
        <is>
          <t>Data Copy Request</t>
        </is>
      </c>
      <c r="C55" s="96" t="inlineStr">
        <is>
          <t>Hello Devatha, Satish , Kindly copy the Presbyterian HRP history files for the past two months (February and March). Thank you.</t>
        </is>
      </c>
      <c r="D55" s="96" t="inlineStr">
        <is>
          <t>Files are copied</t>
        </is>
      </c>
      <c r="E55" s="96" t="inlineStr">
        <is>
          <t>Files are copied</t>
        </is>
      </c>
      <c r="F55" s="95" t="inlineStr">
        <is>
          <t>Closed</t>
        </is>
      </c>
      <c r="G55" s="95" t="inlineStr">
        <is>
          <t>2026-04-14</t>
        </is>
      </c>
    </row>
    <row r="56" ht="40" customHeight="1">
      <c r="A56" s="93" t="inlineStr">
        <is>
          <t>IT-2988285</t>
        </is>
      </c>
      <c r="B56" s="94" t="inlineStr">
        <is>
          <t>Peer review for oscar - homegrown</t>
        </is>
      </c>
      <c r="C56" s="94" t="inlineStr">
        <is>
          <t>Reviewed the Oscar homegrown data against the old dataset and the runs using the new PPM template, validation was completed with Puchakayala, Ranadeep and everything looks good. We are ready to proceed to production.</t>
        </is>
      </c>
      <c r="D56" s="94" t="inlineStr"/>
      <c r="E56" s="94" t="inlineStr">
        <is>
          <t>Reviewed and scheduled</t>
        </is>
      </c>
      <c r="F56" s="93" t="inlineStr">
        <is>
          <t>Closed</t>
        </is>
      </c>
      <c r="G56" s="93" t="inlineStr">
        <is>
          <t>2026-04-14</t>
        </is>
      </c>
    </row>
    <row r="57" ht="40" customHeight="1">
      <c r="A57" s="95" t="inlineStr">
        <is>
          <t>IT-2988019</t>
        </is>
      </c>
      <c r="B57" s="96" t="inlineStr">
        <is>
          <t>OLA Configuration Changes and Monitoring on TRIMA</t>
        </is>
      </c>
      <c r="C57" s="96" t="inlineStr">
        <is>
          <t>I have made configuration changes in OLA, including adding buffer time. I will monitor a few executions and confirm that the changes are working as expected.</t>
        </is>
      </c>
      <c r="D57" s="96"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E57" s="96" t="inlineStr"/>
      <c r="F57" s="95" t="inlineStr">
        <is>
          <t>On Hold</t>
        </is>
      </c>
      <c r="G57" s="95" t="inlineStr">
        <is>
          <t>2026-04-14</t>
        </is>
      </c>
    </row>
    <row r="58" ht="40" customHeight="1">
      <c r="A58" s="93" t="inlineStr">
        <is>
          <t>IT-2988016</t>
        </is>
      </c>
      <c r="B58" s="94" t="inlineStr">
        <is>
          <t>OLA Configuration Changes and Monitoring on TRICM</t>
        </is>
      </c>
      <c r="C58" s="94" t="inlineStr">
        <is>
          <t>I have made configuration changes in OLA, including adding buffer time. I will monitor a few executions and confirm that the changes are working as expected.</t>
        </is>
      </c>
      <c r="D58" s="94"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E58" s="94" t="inlineStr"/>
      <c r="F58" s="93" t="inlineStr">
        <is>
          <t>On Hold</t>
        </is>
      </c>
      <c r="G58" s="93" t="inlineStr">
        <is>
          <t>2026-04-14</t>
        </is>
      </c>
    </row>
    <row r="59" ht="40" customHeight="1">
      <c r="A59" s="95" t="inlineStr">
        <is>
          <t>IT-2987699</t>
        </is>
      </c>
      <c r="B59" s="96" t="inlineStr">
        <is>
          <t>Unmatched mbr_enrollment raw data count - 20260412_1 - prod - dm-centene-centene-actian_migration_member_enrollment</t>
        </is>
      </c>
      <c r="C59" s="96" t="inlineStr">
        <is>
          <t>The pipeline got failed due to unmatched record, please investigate and suggest. Email ref: Unmatched mbr_enrollment raw data count - 20260412_1 - prod - dm-centene-centene-actian_migration_member_enrollment</t>
        </is>
      </c>
      <c r="D59" s="96" t="inlineStr">
        <is>
          <t>There is another ticket already opened yesterday on 4/13: IT-2987468</t>
        </is>
      </c>
      <c r="E59" s="96" t="inlineStr"/>
      <c r="F59" s="95" t="inlineStr">
        <is>
          <t>Cancelled</t>
        </is>
      </c>
      <c r="G59" s="95" t="inlineStr">
        <is>
          <t>2026-04-13</t>
        </is>
      </c>
    </row>
    <row r="60" ht="40" customHeight="1">
      <c r="A60" s="93" t="inlineStr">
        <is>
          <t>IT-2987546</t>
        </is>
      </c>
      <c r="B60" s="94" t="inlineStr">
        <is>
          <t>Please ingest file COSMOS_CLAIM_ASONON_OUT_APR26.txt.gz.pgp only for pipeline dm-uhc-cosmos-actian_migration_asoclaims (202604)</t>
        </is>
      </c>
      <c r="C60" s="94"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D60" s="94"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E60" s="94" t="inlineStr">
        <is>
          <t>Edited the pipeline to just read ASONON files and filter out ASOFAC files. Once load is done then we edited the pipeline to include both files</t>
        </is>
      </c>
      <c r="F60" s="93" t="inlineStr">
        <is>
          <t>Closed</t>
        </is>
      </c>
      <c r="G60" s="93" t="inlineStr">
        <is>
          <t>2026-04-13</t>
        </is>
      </c>
    </row>
    <row r="61" ht="40" customHeight="1">
      <c r="A61" s="95" t="inlineStr">
        <is>
          <t>IT-2986640</t>
        </is>
      </c>
      <c r="B61" s="96" t="inlineStr">
        <is>
          <t>BCBSNJ Nasco - Delete the file from raw folder for 20260217 date</t>
        </is>
      </c>
      <c r="C61" s="96"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D61" s="96" t="inlineStr">
        <is>
          <t>Hi Shaik, Parveena Removed the file from raw path Thanks Satish Devatha</t>
        </is>
      </c>
      <c r="E61" s="96" t="inlineStr">
        <is>
          <t>Removed the file from raw path</t>
        </is>
      </c>
      <c r="F61" s="95" t="inlineStr">
        <is>
          <t>Closed</t>
        </is>
      </c>
      <c r="G61" s="95" t="inlineStr">
        <is>
          <t>2026-04-13</t>
        </is>
      </c>
    </row>
    <row r="62" ht="40" customHeight="1">
      <c r="A62" s="93" t="inlineStr">
        <is>
          <t>IT-2986624</t>
        </is>
      </c>
      <c r="B62" s="94" t="inlineStr">
        <is>
          <t>Copy files From Nile Prod Raw path to Nile QC Raw path - Aetna Trad</t>
        </is>
      </c>
      <c r="C62" s="94"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62" s="94" t="inlineStr">
        <is>
          <t>Hi Shivalingu, Naveen Files copied. Please verify Thanks Satish Devatha</t>
        </is>
      </c>
      <c r="E62" s="94" t="inlineStr">
        <is>
          <t>Files Copied</t>
        </is>
      </c>
      <c r="F62" s="93" t="inlineStr">
        <is>
          <t>Closed</t>
        </is>
      </c>
      <c r="G62" s="93" t="inlineStr">
        <is>
          <t>2026-04-13</t>
        </is>
      </c>
    </row>
    <row r="63" ht="40" customHeight="1">
      <c r="A63" s="95" t="inlineStr">
        <is>
          <t>IT-2986524</t>
        </is>
      </c>
      <c r="B63" s="96" t="inlineStr">
        <is>
          <t>Copy files From Nile Prod Raw path to Nile QC Raw path - UHC-CSP</t>
        </is>
      </c>
      <c r="C63" s="96"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D63" s="96" t="inlineStr">
        <is>
          <t>Hi Pati, Jagadeesh Chandra Files copied. please verify. Thanks</t>
        </is>
      </c>
      <c r="E63" s="96" t="inlineStr">
        <is>
          <t>Files Copied</t>
        </is>
      </c>
      <c r="F63" s="95" t="inlineStr">
        <is>
          <t>Closed</t>
        </is>
      </c>
      <c r="G63" s="95" t="inlineStr">
        <is>
          <t>2026-04-13</t>
        </is>
      </c>
    </row>
    <row r="64" ht="40" customHeight="1">
      <c r="A64" s="93" t="inlineStr">
        <is>
          <t>IT-2986465</t>
        </is>
      </c>
      <c r="B64" s="94" t="inlineStr">
        <is>
          <t>bcbs_mn new file</t>
        </is>
      </c>
      <c r="C64" s="94"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D64" s="94"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E64" s="94" t="inlineStr">
        <is>
          <t>Created new spoolers and new pipeline new mappings and new table</t>
        </is>
      </c>
      <c r="F64" s="93" t="inlineStr">
        <is>
          <t>Closed</t>
        </is>
      </c>
      <c r="G64" s="93" t="inlineStr">
        <is>
          <t>2026-04-13</t>
        </is>
      </c>
    </row>
    <row r="65" ht="40" customHeight="1">
      <c r="A65" s="95" t="inlineStr">
        <is>
          <t>IT-2985806</t>
        </is>
      </c>
      <c r="B65" s="96" t="inlineStr">
        <is>
          <t>Testing and promoting oscar - homegrown pipelines to prod using the new PPM template.</t>
        </is>
      </c>
      <c r="C65" s="96" t="inlineStr">
        <is>
          <t>Validating and deploying pipelines with the new PPM template to ensure proper functionality and compatibility. client - oscar - homegrown</t>
        </is>
      </c>
      <c r="D65" s="96" t="inlineStr">
        <is>
          <t>Subtask needed to be validated. The lean ingestion pipelines are now live in production.</t>
        </is>
      </c>
      <c r="E65" s="96" t="inlineStr">
        <is>
          <t>Lean_ingestion pipelines sent live.</t>
        </is>
      </c>
      <c r="F65" s="95" t="inlineStr">
        <is>
          <t>Closed</t>
        </is>
      </c>
      <c r="G65" s="95" t="inlineStr">
        <is>
          <t>2026-04-13</t>
        </is>
      </c>
    </row>
    <row r="66" ht="40" customHeight="1">
      <c r="A66" s="93" t="inlineStr">
        <is>
          <t>IT-2985721</t>
        </is>
      </c>
      <c r="B66" s="94" t="inlineStr">
        <is>
          <t>Update the tracker with the newly deployed History pipelines for Premera and Geisinger that are now live in production.</t>
        </is>
      </c>
      <c r="C66" s="94"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D66" s="94" t="inlineStr"/>
      <c r="E66" s="94" t="inlineStr">
        <is>
          <t>Details recorded accordingly.</t>
        </is>
      </c>
      <c r="F66" s="93" t="inlineStr">
        <is>
          <t>Closed</t>
        </is>
      </c>
      <c r="G66" s="93" t="inlineStr">
        <is>
          <t>2026-04-13</t>
        </is>
      </c>
    </row>
    <row r="67" ht="40" customHeight="1">
      <c r="A67" s="95" t="inlineStr">
        <is>
          <t>IT-2982622</t>
        </is>
      </c>
      <c r="B67" s="96" t="inlineStr">
        <is>
          <t>trigger_bmc_workflow-uhc-unet_monthly_Incremental_Dataload</t>
        </is>
      </c>
      <c r="C67" s="96" t="inlineStr">
        <is>
          <t>trigger_bmc_workflow-uhc-unet_monthly_Incremental_Dataload has not ran since December. not sure the issue here</t>
        </is>
      </c>
      <c r="D67" s="96"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E67" s="96" t="inlineStr">
        <is>
          <t>need to create 2 new BMC pipelines. One for the first run and the second one is for the 2nd and 3rd run of each month.</t>
        </is>
      </c>
      <c r="F67" s="95" t="inlineStr">
        <is>
          <t>Closed</t>
        </is>
      </c>
      <c r="G67" s="95" t="inlineStr">
        <is>
          <t>2026-04-10</t>
        </is>
      </c>
    </row>
    <row r="68" ht="40" customHeight="1">
      <c r="A68" s="93" t="inlineStr">
        <is>
          <t>IT-2981879</t>
        </is>
      </c>
      <c r="B68" s="94" t="inlineStr">
        <is>
          <t>Production Transition - Aetna - MR</t>
        </is>
      </c>
      <c r="C68" s="94" t="inlineStr">
        <is>
          <t>Production Transition - Aetna - MR</t>
        </is>
      </c>
      <c r="D68" s="94" t="inlineStr">
        <is>
          <t>Waiting for documents</t>
        </is>
      </c>
      <c r="E68" s="94" t="inlineStr"/>
      <c r="F68" s="93" t="inlineStr">
        <is>
          <t>On Hold</t>
        </is>
      </c>
      <c r="G68" s="93" t="inlineStr">
        <is>
          <t>2026-04-10</t>
        </is>
      </c>
    </row>
    <row r="69" ht="40" customHeight="1">
      <c r="A69" s="95" t="inlineStr">
        <is>
          <t>IT-2981131</t>
        </is>
      </c>
      <c r="B69" s="96" t="inlineStr">
        <is>
          <t>Need a copy of data from Nile PROD to Nile Dev Location</t>
        </is>
      </c>
      <c r="C69" s="96"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D69" s="96"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E69" s="96" t="inlineStr">
        <is>
          <t>data copied as requested and verified.</t>
        </is>
      </c>
      <c r="F69" s="95" t="inlineStr">
        <is>
          <t>Closed</t>
        </is>
      </c>
      <c r="G69" s="95" t="inlineStr">
        <is>
          <t>2026-04-09</t>
        </is>
      </c>
    </row>
    <row r="70" ht="40" customHeight="1">
      <c r="A70" s="93" t="inlineStr">
        <is>
          <t>IT-2980439</t>
        </is>
      </c>
      <c r="B70" s="94" t="inlineStr">
        <is>
          <t>Created a runbook for Lean ingestion pipelines for Premera and Geisinger.</t>
        </is>
      </c>
      <c r="C70" s="94" t="inlineStr">
        <is>
          <t>Geisinger Facets_PPM_Lean_Ingestion_Run_Book.docx Premera BlueCross_PPM_Lean_Ingestion_Run_Book.docx</t>
        </is>
      </c>
      <c r="D70" s="94" t="inlineStr">
        <is>
          <t>Geisinger Facets_PPM_Lean_Ingestion_Run_Book.docx Premera BlueCross_PPM_Lean_Ingestion_Run_Book.docx</t>
        </is>
      </c>
      <c r="E70" s="94" t="inlineStr">
        <is>
          <t>Attached the run books in the comments.</t>
        </is>
      </c>
      <c r="F70" s="93" t="inlineStr">
        <is>
          <t>Closed</t>
        </is>
      </c>
      <c r="G70" s="93" t="inlineStr">
        <is>
          <t>2026-04-09</t>
        </is>
      </c>
    </row>
    <row r="71" ht="40" customHeight="1">
      <c r="A71" s="95" t="inlineStr">
        <is>
          <t>IT-2973897</t>
        </is>
      </c>
      <c r="B71" s="96" t="inlineStr">
        <is>
          <t>CCV CAT Excellus Primary Diagnosis Code Data</t>
        </is>
      </c>
      <c r="C71" s="96"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D71" s="96" t="inlineStr">
        <is>
          <t>Shared raw, gdf and cdf details for the sample claims Thanks Satish Devatha</t>
        </is>
      </c>
      <c r="E71" s="96" t="inlineStr">
        <is>
          <t>Shared Details</t>
        </is>
      </c>
      <c r="F71" s="95" t="inlineStr">
        <is>
          <t>Closed</t>
        </is>
      </c>
      <c r="G71" s="95" t="inlineStr">
        <is>
          <t>2026-04-06</t>
        </is>
      </c>
    </row>
    <row r="72" ht="40" customHeight="1">
      <c r="A72" s="93" t="inlineStr">
        <is>
          <t>IT-2973653</t>
        </is>
      </c>
      <c r="B72" s="94" t="inlineStr">
        <is>
          <t>DM and RCOB Layouts for Independence Blue Cross</t>
        </is>
      </c>
      <c r="C72" s="94" t="inlineStr">
        <is>
          <t>Hello, we need to conduct an OA analysis for Independence Blue Cross. We would like to use the DM and RCOB layout to get started. Will you please send these files to us?</t>
        </is>
      </c>
      <c r="D72" s="94" t="inlineStr">
        <is>
          <t>Hi Smith, Emily Shared the schema layouts Thanks Satish Devatha</t>
        </is>
      </c>
      <c r="E72" s="94" t="inlineStr">
        <is>
          <t>Shared the schema layouts</t>
        </is>
      </c>
      <c r="F72" s="93" t="inlineStr">
        <is>
          <t>Closed</t>
        </is>
      </c>
      <c r="G72" s="93" t="inlineStr">
        <is>
          <t>2026-04-06</t>
        </is>
      </c>
    </row>
    <row r="73" ht="40" customHeight="1">
      <c r="A73" s="95" t="inlineStr">
        <is>
          <t>IT-2973088</t>
        </is>
      </c>
      <c r="B73" s="96" t="inlineStr">
        <is>
          <t>Copy files From Nile Prod Raw path to Nile QC Raw path - Aetna Trad</t>
        </is>
      </c>
      <c r="C73" s="96"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73" s="96" t="inlineStr">
        <is>
          <t>Hi Shivalingu, Naveen Files are copied please verify</t>
        </is>
      </c>
      <c r="E73" s="96" t="inlineStr">
        <is>
          <t>Files Copied</t>
        </is>
      </c>
      <c r="F73" s="95" t="inlineStr">
        <is>
          <t>Closed</t>
        </is>
      </c>
      <c r="G73" s="95" t="inlineStr">
        <is>
          <t>2026-04-06</t>
        </is>
      </c>
    </row>
    <row r="74" ht="40" customHeight="1">
      <c r="A74" s="93" t="inlineStr">
        <is>
          <t>IT-2972304</t>
        </is>
      </c>
      <c r="B74" s="94" t="inlineStr">
        <is>
          <t>Centene ABS OLA Configurations</t>
        </is>
      </c>
      <c r="C74" s="94" t="inlineStr">
        <is>
          <t>Centene ABS OLA Configurations</t>
        </is>
      </c>
      <c r="D74" s="94" t="inlineStr">
        <is>
          <t>To Monitor the next executions tomorrow.</t>
        </is>
      </c>
      <c r="E74" s="94" t="inlineStr">
        <is>
          <t>Working as expected.</t>
        </is>
      </c>
      <c r="F74" s="93" t="inlineStr">
        <is>
          <t>Closed</t>
        </is>
      </c>
      <c r="G74" s="93" t="inlineStr">
        <is>
          <t>2026-04-06</t>
        </is>
      </c>
    </row>
    <row r="75" ht="40" customHeight="1">
      <c r="A75" s="95" t="inlineStr">
        <is>
          <t>IT-2972270</t>
        </is>
      </c>
      <c r="B75" s="96" t="inlineStr">
        <is>
          <t>Unmatched gdf_professional_claims raw data count - 20260405_1 - prod - ppm-premera-bluecross-history_professional_claims_GDF2_2_CDF2_2_Slim_Refactoring</t>
        </is>
      </c>
      <c r="C75" s="96" t="inlineStr">
        <is>
          <t>Pipeline: ppm-premera-bluecross-history_professional_claims_GDF2_2_CDF2_2_Slim_Refactoring Email ref: Unmatched gdf_professional_claims raw data count - 20260405_1 - prod - ppm-premera-bluecross-history_professional_claims_GDF2_2_CDF2_2_Slim_Refactoring</t>
        </is>
      </c>
      <c r="D75" s="96" t="inlineStr">
        <is>
          <t>There is already another ticket created for this issue.</t>
        </is>
      </c>
      <c r="E75" s="96" t="inlineStr"/>
      <c r="F75" s="95" t="inlineStr">
        <is>
          <t>Cancelled</t>
        </is>
      </c>
      <c r="G75" s="95" t="inlineStr">
        <is>
          <t>2026-04-06</t>
        </is>
      </c>
    </row>
    <row r="76" ht="40" customHeight="1">
      <c r="A76" s="93" t="inlineStr">
        <is>
          <t>IT-2970242</t>
        </is>
      </c>
      <c r="B76" s="94" t="inlineStr">
        <is>
          <t>BCBSLA PBM RCA Prod Transition Documents Review</t>
        </is>
      </c>
      <c r="C76" s="94" t="inlineStr">
        <is>
          <t>Please review the prod transition checklist documents for BCBSLA PBM RCA and let us know if any changes are needed. Creating this ticket as a placeholder. Will update ticket with document links once complete.</t>
        </is>
      </c>
      <c r="D76" s="94"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E76" s="94" t="inlineStr">
        <is>
          <t>Transition completed.</t>
        </is>
      </c>
      <c r="F76" s="93" t="inlineStr">
        <is>
          <t>Closed</t>
        </is>
      </c>
      <c r="G76" s="93" t="inlineStr">
        <is>
          <t>2026-04-03</t>
        </is>
      </c>
    </row>
    <row r="77" ht="40" customHeight="1">
      <c r="A77" s="95" t="inlineStr">
        <is>
          <t>IT-2970073</t>
        </is>
      </c>
      <c r="B77" s="96" t="inlineStr">
        <is>
          <t>Please fix Kaiser-wa BMC pipeline</t>
        </is>
      </c>
      <c r="C77" s="96" t="inlineStr">
        <is>
          <t>please fix trigger_bmc_workflow-kaiser_wa_monthly as it is not schedule</t>
        </is>
      </c>
      <c r="D77" s="96" t="inlineStr">
        <is>
          <t>Fixed pre-check, publish child pipelines, and scheduled will ask Easley, Keaton to monitor</t>
        </is>
      </c>
      <c r="E77" s="96" t="inlineStr">
        <is>
          <t>Fixed pre-check, publish child pipelines, and scheduled</t>
        </is>
      </c>
      <c r="F77" s="95" t="inlineStr">
        <is>
          <t>Closed</t>
        </is>
      </c>
      <c r="G77" s="95" t="inlineStr">
        <is>
          <t>2026-04-03</t>
        </is>
      </c>
    </row>
    <row r="78" ht="40" customHeight="1">
      <c r="A78" s="93" t="inlineStr">
        <is>
          <t>IT-2969877</t>
        </is>
      </c>
      <c r="B78" s="94" t="inlineStr">
        <is>
          <t>Copy files From Nile Prod Raw path to Nile QC Raw path - UHC-CSP</t>
        </is>
      </c>
      <c r="C78" s="94"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D78" s="94"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E78" s="94" t="inlineStr">
        <is>
          <t>all data copied as requested and verified.</t>
        </is>
      </c>
      <c r="F78" s="93" t="inlineStr">
        <is>
          <t>Closed</t>
        </is>
      </c>
      <c r="G78" s="93" t="inlineStr">
        <is>
          <t>2026-04-03</t>
        </is>
      </c>
    </row>
    <row r="79" ht="40" customHeight="1">
      <c r="A79" s="95" t="inlineStr">
        <is>
          <t>IT-2969243</t>
        </is>
      </c>
      <c r="B79" s="96" t="inlineStr">
        <is>
          <t>Data copy Request</t>
        </is>
      </c>
      <c r="C79" s="96" t="inlineStr">
        <is>
          <t>Hello Devatha, Satish , I kindly request you to copy the latest ingestion-date data files for Premera history to the dev environment to test the pipelines built using the new PPM template. Thank You.</t>
        </is>
      </c>
      <c r="D79" s="96"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E79" s="96" t="inlineStr">
        <is>
          <t>Data Copied</t>
        </is>
      </c>
      <c r="F79" s="95" t="inlineStr">
        <is>
          <t>Closed</t>
        </is>
      </c>
      <c r="G79" s="95" t="inlineStr">
        <is>
          <t>2026-04-03</t>
        </is>
      </c>
    </row>
    <row r="80" ht="40" customHeight="1">
      <c r="A80" s="93" t="inlineStr">
        <is>
          <t>IT-2968200</t>
        </is>
      </c>
      <c r="B80" s="94" t="inlineStr">
        <is>
          <t>Cannot locate claim for BCBSAZ</t>
        </is>
      </c>
      <c r="C80" s="94" t="inlineStr">
        <is>
          <t>Hi, Could you let me know what file claim 25321E03401or A25321E03401 is located in or if we have received it for HAZMD (stream BAZHC)? The client is trying to open an appeal but cannot locate the claim. Thanks,</t>
        </is>
      </c>
      <c r="D80" s="94"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E80" s="94" t="inlineStr">
        <is>
          <t>Provided the necessary analysis for end user and confirmed they have everything they need</t>
        </is>
      </c>
      <c r="F80" s="93" t="inlineStr">
        <is>
          <t>Closed</t>
        </is>
      </c>
      <c r="G80" s="93" t="inlineStr">
        <is>
          <t>2026-04-02</t>
        </is>
      </c>
    </row>
    <row r="81" ht="40" customHeight="1">
      <c r="A81" s="95" t="inlineStr">
        <is>
          <t>IT-2967631</t>
        </is>
      </c>
      <c r="B81" s="96" t="inlineStr">
        <is>
          <t>Please Run These Medical Codes Library Quarterly Pipelines</t>
        </is>
      </c>
      <c r="C81" s="96" t="inlineStr">
        <is>
          <t>Hello, Nile Team. Please run the MCL quarterly pipelines. The pipelines and their source file locations are contained in the attached Excel document. There are 37 pipelines that need to be run. Please let me know if you have any questions. Thanks. Mike</t>
        </is>
      </c>
      <c r="D81" s="96"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E81" s="96" t="inlineStr">
        <is>
          <t>Successfully loaded all the files to target tables. Got confirmation from user to close the ticket.</t>
        </is>
      </c>
      <c r="F81" s="95" t="inlineStr">
        <is>
          <t>Closed</t>
        </is>
      </c>
      <c r="G81" s="95" t="inlineStr">
        <is>
          <t>2026-04-02</t>
        </is>
      </c>
    </row>
    <row r="82" ht="40" customHeight="1">
      <c r="A82" s="93" t="inlineStr">
        <is>
          <t>IT-2967594</t>
        </is>
      </c>
      <c r="B82" s="94" t="inlineStr">
        <is>
          <t>Aetna MCD- Request to separate out the HEW files</t>
        </is>
      </c>
      <c r="C82" s="94"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D82" s="94" t="inlineStr">
        <is>
          <t>4Q25 file only reprocessing with 20260331 datadate. pipeline is running for 20260331 datadte for 4Q25 file. Nile processed both 4Q25 and 1Q26 files Thanks Satish Devatha</t>
        </is>
      </c>
      <c r="E82" s="94" t="inlineStr">
        <is>
          <t>Nile processed both 4Q25 and 1Q26 files</t>
        </is>
      </c>
      <c r="F82" s="93" t="inlineStr">
        <is>
          <t>Closed</t>
        </is>
      </c>
      <c r="G82" s="93" t="inlineStr">
        <is>
          <t>2026-04-02</t>
        </is>
      </c>
    </row>
    <row r="83" ht="40" customHeight="1">
      <c r="A83" s="95" t="inlineStr">
        <is>
          <t>IT-2965751</t>
        </is>
      </c>
      <c r="B83" s="96" t="inlineStr">
        <is>
          <t>Copy files From Nile QC Raw path to Nile Dev Raw path - UHC CSP</t>
        </is>
      </c>
      <c r="C83" s="96"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D83" s="96"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E83" s="96" t="inlineStr">
        <is>
          <t>Files Copied</t>
        </is>
      </c>
      <c r="F83" s="95" t="inlineStr">
        <is>
          <t>Closed</t>
        </is>
      </c>
      <c r="G83" s="95" t="inlineStr">
        <is>
          <t>2026-04-01</t>
        </is>
      </c>
    </row>
    <row r="84" ht="40" customHeight="1">
      <c r="A84" s="93" t="inlineStr">
        <is>
          <t>IT-2965581</t>
        </is>
      </c>
      <c r="B84" s="94" t="inlineStr">
        <is>
          <t>UHC-CIRRUS | Dummy ticket | Testing</t>
        </is>
      </c>
      <c r="C84" s="94" t="inlineStr">
        <is>
          <t>testing 1, 2, 3........</t>
        </is>
      </c>
      <c r="D84" s="94" t="inlineStr">
        <is>
          <t>ticket not needed. testing ticket.</t>
        </is>
      </c>
      <c r="E84" s="94" t="inlineStr"/>
      <c r="F84" s="93" t="inlineStr">
        <is>
          <t>Cancelled</t>
        </is>
      </c>
      <c r="G84" s="93" t="inlineStr">
        <is>
          <t>2026-04-01</t>
        </is>
      </c>
    </row>
    <row r="85" ht="40" customHeight="1">
      <c r="A85" s="95" t="inlineStr">
        <is>
          <t>IT-2964244</t>
        </is>
      </c>
      <c r="B85" s="96" t="inlineStr">
        <is>
          <t>copy latest set of files from Prod</t>
        </is>
      </c>
      <c r="C85" s="96" t="inlineStr">
        <is>
          <t>Hi , Could you please help copy latest set of files (20260330) from PROD to DEV. Client feed- 304-aetna-trad_scm</t>
        </is>
      </c>
      <c r="D85" s="96" t="inlineStr">
        <is>
          <t>Hi Malireddy, Krishna Files copied please verify Thanks</t>
        </is>
      </c>
      <c r="E85" s="96" t="inlineStr">
        <is>
          <t>Files copied</t>
        </is>
      </c>
      <c r="F85" s="95" t="inlineStr">
        <is>
          <t>Closed</t>
        </is>
      </c>
      <c r="G85" s="95" t="inlineStr">
        <is>
          <t>2026-04-01</t>
        </is>
      </c>
    </row>
    <row r="86" ht="40" customHeight="1">
      <c r="A86" s="93" t="inlineStr">
        <is>
          <t>IT-2963922</t>
        </is>
      </c>
      <c r="B86" s="94" t="inlineStr">
        <is>
          <t>Update "McdDmeCappedRentalCodes" and “DmeZipcodeClassification” Table in MCL</t>
        </is>
      </c>
      <c r="C86" s="94"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D86" s="94"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E86" s="94" t="inlineStr">
        <is>
          <t>Files loaded successfully and user confirmed to close the ticket.</t>
        </is>
      </c>
      <c r="F86" s="93" t="inlineStr">
        <is>
          <t>Closed</t>
        </is>
      </c>
      <c r="G86" s="93" t="inlineStr">
        <is>
          <t>2026-04-01</t>
        </is>
      </c>
    </row>
    <row r="88">
      <c r="A88" s="34" t="inlineStr">
        <is>
          <t>To recategorize: go to Raw — Apr 2026 → find ticket → use Category dropdown → re-run python run.py to refresh this list.</t>
        </is>
      </c>
    </row>
  </sheetData>
  <mergeCells count="3">
    <mergeCell ref="A88:G88"/>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11"/>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42" customWidth="1" min="5" max="5"/>
    <col width="30" customWidth="1" min="6" max="6"/>
    <col width="24" customWidth="1" min="7" max="7"/>
    <col width="20" customWidth="1" min="8" max="8"/>
    <col width="20" customWidth="1" min="9" max="9"/>
    <col width="18" customWidth="1" min="10" max="10"/>
    <col width="14" customWidth="1" min="11" max="11"/>
    <col width="14" customWidth="1" min="12" max="12"/>
    <col width="14" customWidth="1" min="13" max="13"/>
    <col width="24" customWidth="1" min="14" max="14"/>
    <col width="18" customWidth="1" min="15" max="15"/>
    <col width="18" customWidth="1" min="16" max="16"/>
    <col width="24" customWidth="1" min="17" max="17"/>
    <col width="20" customWidth="1" min="18" max="18"/>
    <col width="20" customWidth="1" min="19" max="19"/>
    <col width="20" customWidth="1" min="20" max="20"/>
    <col width="12" customWidth="1" min="21" max="21"/>
    <col width="14" customWidth="1" min="22" max="22"/>
    <col width="14" customWidth="1" min="23" max="23"/>
  </cols>
  <sheetData>
    <row r="1" ht="28" customHeight="1">
      <c r="A1" s="42" t="inlineStr">
        <is>
          <t>NILE Pipeline Issues — May 2026</t>
        </is>
      </c>
    </row>
    <row r="2" ht="22" customHeight="1">
      <c r="A2" s="11" t="inlineStr">
        <is>
          <t>Key</t>
        </is>
      </c>
      <c r="B2" s="11" t="inlineStr">
        <is>
          <t>Issue id</t>
        </is>
      </c>
      <c r="C2" s="11" t="inlineStr">
        <is>
          <t>Parent id</t>
        </is>
      </c>
      <c r="D2" s="11" t="inlineStr">
        <is>
          <t>Summary</t>
        </is>
      </c>
      <c r="E2" s="11" t="inlineStr">
        <is>
          <t>Description</t>
        </is>
      </c>
      <c r="F2" s="11" t="inlineStr">
        <is>
          <t>Comment</t>
        </is>
      </c>
      <c r="G2" s="11" t="inlineStr">
        <is>
          <t>Close Notes</t>
        </is>
      </c>
      <c r="H2" s="11" t="inlineStr">
        <is>
          <t>Categories</t>
        </is>
      </c>
      <c r="I2" s="11" t="inlineStr">
        <is>
          <t>New Categories</t>
        </is>
      </c>
      <c r="J2" s="11" t="inlineStr">
        <is>
          <t>Assign</t>
        </is>
      </c>
      <c r="K2" s="11" t="inlineStr">
        <is>
          <t>Status</t>
        </is>
      </c>
      <c r="L2" s="11" t="inlineStr">
        <is>
          <t>Created</t>
        </is>
      </c>
      <c r="M2" s="11" t="inlineStr">
        <is>
          <t>Updated</t>
        </is>
      </c>
      <c r="N2" s="11" t="inlineStr">
        <is>
          <t>Custom field (Assignment Group)</t>
        </is>
      </c>
      <c r="O2" s="11" t="inlineStr">
        <is>
          <t>Assignee</t>
        </is>
      </c>
      <c r="P2" s="11" t="inlineStr">
        <is>
          <t>Reporter</t>
        </is>
      </c>
      <c r="Q2" s="11" t="inlineStr">
        <is>
          <t>Resolution</t>
        </is>
      </c>
      <c r="R2" s="11" t="inlineStr">
        <is>
          <t>Custom field (Comments)</t>
        </is>
      </c>
      <c r="S2" s="11" t="inlineStr">
        <is>
          <t>Inward issue link (Cloners)</t>
        </is>
      </c>
      <c r="T2" s="11" t="inlineStr">
        <is>
          <t>Outward issue link (Cloners)</t>
        </is>
      </c>
      <c r="U2" s="11" t="inlineStr">
        <is>
          <t>Inward issue link (Relates)</t>
        </is>
      </c>
      <c r="V2" s="11" t="inlineStr">
        <is>
          <t>Category</t>
        </is>
      </c>
      <c r="W2" s="11" t="inlineStr">
        <is>
          <t>Review Required</t>
        </is>
      </c>
    </row>
    <row r="3">
      <c r="A3" s="107" t="inlineStr">
        <is>
          <t>IT-3085495</t>
        </is>
      </c>
      <c r="B3" s="107" t="inlineStr">
        <is>
          <t>IT-3085495</t>
        </is>
      </c>
      <c r="C3" s="107" t="inlineStr"/>
      <c r="D3" s="44" t="inlineStr">
        <is>
          <t>rca_molina_molina_claims_notouch_pgp - "pipeline failed for 2026/05/25 date"</t>
        </is>
      </c>
      <c r="E3" s="44" t="inlineStr">
        <is>
          <t>Pipeline Name: rca_molina_molina_claims_notouch_pgp The pipeline is failed in DB writer stage. Error message: Please check Database Configurations</t>
        </is>
      </c>
      <c r="F3" s="44" t="inlineStr"/>
      <c r="G3" s="44" t="inlineStr"/>
      <c r="H3" s="107" t="inlineStr">
        <is>
          <t>Other</t>
        </is>
      </c>
      <c r="I3" s="107" t="inlineStr">
        <is>
          <t>Other</t>
        </is>
      </c>
      <c r="J3" s="107" t="inlineStr"/>
      <c r="K3" s="107" t="inlineStr">
        <is>
          <t>Open</t>
        </is>
      </c>
      <c r="L3" s="107" t="inlineStr">
        <is>
          <t>2026-05-26</t>
        </is>
      </c>
      <c r="M3" s="107" t="inlineStr">
        <is>
          <t>2026-05-26</t>
        </is>
      </c>
      <c r="N3" s="107" t="inlineStr">
        <is>
          <t>Nile Production Support</t>
        </is>
      </c>
      <c r="O3" s="107" t="inlineStr">
        <is>
          <t>Unassigned</t>
        </is>
      </c>
      <c r="P3" s="107" t="inlineStr">
        <is>
          <t>Limbu, Sajan</t>
        </is>
      </c>
      <c r="Q3" s="107" t="inlineStr">
        <is>
          <t>Unresolved</t>
        </is>
      </c>
      <c r="R3" s="44" t="inlineStr"/>
      <c r="S3" s="107" t="inlineStr"/>
      <c r="T3" s="107" t="inlineStr"/>
      <c r="U3" s="107" t="inlineStr"/>
      <c r="V3" s="108" t="inlineStr">
        <is>
          <t>DB Issue</t>
        </is>
      </c>
      <c r="W3" s="107" t="inlineStr"/>
    </row>
    <row r="4">
      <c r="A4" s="109" t="inlineStr">
        <is>
          <t>IT-3084426</t>
        </is>
      </c>
      <c r="B4" s="109" t="inlineStr">
        <is>
          <t>IT-3084426</t>
        </is>
      </c>
      <c r="C4" s="109" t="inlineStr"/>
      <c r="D4" s="47" t="inlineStr">
        <is>
          <t>CIGMC :: cigmc_daily_incoming_220050 :: 5/24/2026</t>
        </is>
      </c>
      <c r="E4" s="47" t="inlineStr">
        <is>
          <t>File : cigmc_daily_incoming_220050.05-24-2026_2310 QA Status : FAILED Reason : FAILED - Excessive failed lines (~68%) The QA Log: QA Test Name: excessive_fails Pre/Post Run: 1 Result: FAILED - Excessive failed lines (~68%)</t>
        </is>
      </c>
      <c r="F4" s="47" t="inlineStr">
        <is>
          <t>CIGMC|T|0030212|20260525|122|P TRAILER|122|20260525|030051 The Run Results Log: PayerShort: CIGMC MemberId: 46L8X1F16 DependentId: 00 TaxId: 860423068 ProviderId: ClaimId: 2602AHRW5403 Error: PROVIDER_ID is blank PayerShort: CIGMC MemberId: 17F5R3X35 DependentId: 00 TaxId: 562589722 ProviderId: ClaimId: 26100ALQ9802 Error: PROVIDER_ID is blank PayerShort: CIGMC MemberId: 16F6F4F18 DependentId: 00 TaxId: 860423068 ProviderId: ClaimId: 2604AIGF0902 Error: PROVIDER_ID is blank PayerShort: CIGMC MemberId: 41F8L9F47 DependentId: 00 TaxId: 860423068 ProviderId: ClaimId: 25340ACO6503 Error: PROVIDER_ID is blank PayerShort: CIGMC MemberId: 33F3U7L83 DependentId: 00 TaxId: 860423068 ProviderId: ClaimId: 26018AQU5503 Error: PROVIDER_ID is blank PayerShort: CIGMC MemberId: 53F3L3X22 DependentId: 00 TaxId: 860423068 ProviderId: ClaimId: 2602AITY4003 Error: PROVIDER_ID is blank PayerShort: CIGMC MemberId: 51U5H3H29 DependentId: 00 TaxId: 860423068 ProviderId: ClaimId: 25325AOE4703 Error: PROVIDER_ID is blank PayerShort: CIGMC MemberId: 65L5U9U61 DependentId: 00 TaxId: 860423068 ProviderId: ClaimId: 2601AETH2603 Error: PROVIDER_ID is blank PayerShort: CIGMC MemberId: 66R6F1X93 DependentId: 00 TaxId: 860423068 ProviderId: ClaimId: 2602ALZC9103 Error: PROVIDER_ID is blank PayerShort: CIGMC MemberId: 67L4H2A46 DependentId: 00 TaxId: 860423068 ProviderId: ClaimId: 2603AEMR5503 Error: PROVIDER_ID is blank PayerShort: CIGMC MemberId: 68R7H5H63 DependentId: 00 TaxId: 860423068 ProviderId: ClaimId: 2603AISL6202 Error: PROVIDER_ID is blank PayerShort: CIGMC MemberId: 67H7F5R12 DependentId: 00 TaxId: 860423068 ProviderId: ClaimId: 25353AJD7303 Error: PROVIDER_ID is blank PayerShort: CIGMC MemberId: U0382172801 DependentId: 00 TaxId: 860423068 ProviderId: ClaimId: 2603AEMP5503 Error: PROVIDER_ID is blank PayerShort: CIGMC MemberId: U0385651101 DependentId: 00 TaxId: 860423068 ProviderId: ClaimId: 26072AFK8703 Error: PROVIDER_ID is blank PayerShort: CIGMC MemberId: U0701128101 DependentId: 00 TaxId: 860423068 ProviderId: ClaimId: 26044AHN6803 Error: PROVIDER_ID is blank PayerShort: CIGMC MemberId: U0474677401 DependentId: 00 TaxId: 860423068 ProviderId: ClaimId: 2602ACEN0803 Error: PROVIDER_ID is blank PayerShort: CIGMC MemberId: U1538699201 DependentId: 00 TaxId: 860423068 ProviderId: ClaimId: 25359ANZ3403 Error: PROVIDER_ID is blank PayerShort: CIGMC MemberId: U1573945601 DependentId: 00 TaxId: 860423068 ProviderId: ClaimId: 2603AISJ5303 Error: PROVIDER_ID is blank PayerShort: CIGMC MemberId: U1571966801 DependentId: 00 TaxId: 860423068 ProviderId: ClaimId: 2605AAEN3802 Error: PROVIDER_ID is blank PayerShort: CIGMC MemberId: U1573128301 DependentId: 00 TaxId: 860423068 ProviderId: ClaimId: 2601AETG8603 Error: PROVIDER_ID is blank PayerShort: CIGMC MemberId: U0730121801 DependentId: 00 TaxId: 860423068 ProviderId: ClaimId: 26024APP6403 Error: PROVIDER_ID is blank PayerShort: CIGMC MemberId: U2426297901 DependentId: 00 TaxId: 860423068 ProviderId: ClaimId: 25333AEP1803 Error: PROVIDER_ID is blank PayerShort: CIGMC MemberId: U0730121801 DependentId: 00 TaxId: 860423068 ProviderId: ClaimId: 26040BJF9703 Error: PROVIDER_ID is blank PayerShort: CIGMC MemberId: U3303139001 DependentId: 00 TaxId: 860423068 ProviderId: ClaimId: 26011ADE3503 Error: PROVIDER_ID is blank PayerShort: CIGMC MemberId: 72H1F8H14 DependentId: 00 TaxId: 860423068 ProviderId: ClaimId: 26042AQY7003 Error: PROVIDER_ID is blank PayerShort: CIGMC MemberId: U2970437501 DependentId: 00 TaxId: 860423068 ProviderId: ClaimId: 2601AEWJ5503 Error: PROVIDER_ID is blank PayerShort: CIGMC MemberId: U2970437501 DependentId: 00 TaxId: 562589722 ProviderId: ClaimId: 2604AESC2302 Error: PROVIDER_ID is blank PayerShort: CIGMC MemberId: U3712615301 DependentId: 00 TaxId: 860423068 ProviderId: ClaimId: 26032ALP9703 Error: PROVIDER_ID is blank PayerShort: CIGMC MemberId: U4005072401 DependentId: 00 TaxId: 860423068 ProviderId: ClaimId: 25347ACV2303 Error: PROVIDER_ID is blank PayerShort: CIGMC MemberId: U3386440301 DependentId: 00 TaxId: 860423068 ProviderId: ClaimId: 2601AMMP2303 Error: PROVIDER_ID is blank PayerShort: CIGMC MemberId: U3386440301 DependentId: 00 TaxId: 860423068 ProviderId: ClaimId: 26060ALF8503 Error: PROVIDER_ID is blank PayerShort: CIGMC MemberId: U4451238801 DependentId: 00 TaxId: 860423068 ProviderId: ClaimId: 2602AKFC6103 Error: PROVIDER_ID is blank PayerShort: CIGMC MemberId: U3092575501 DependentId: 00 TaxId: 860423068 ProviderId: ClaimId: 2604AJKW2502 Error: PROVIDER_ID is blank PayerShort: CIGMC MemberId: U3734133101 DependentId: 00 TaxId: 562589722 ProviderId: ClaimId: 2602AMIR3703 Error: PROVIDER_ID is blank PayerShort: CIGMC MemberId: U5075929901 DependentId: 00 TaxId: 860423068 ProviderId: ClaimId: 25342ABH2303 Error: PROVIDER_ID is blank PayerShort: CIGMC MemberId: U5001358301 DependentId: 00 TaxId: 860423068 ProviderId: ClaimId: 25362AHO8003 Error: PROVIDER_ID is blank PayerShort: CIGMC MemberId: U3121076301 DependentId: 00 TaxId: 860423068 ProviderId: ClaimId: 2604ADTY6802 Error: PROVIDER_ID is blank PayerShort: CIGMC MemberId: U4463236301 DependentId: 00 TaxId: 860423068 ProviderId: ClaimId: 2604AIBU7702 Error: PROVIDER_ID is blank PayerShort: CIGMC MemberId: U7141495101 DependentId: 00 TaxId: 860423068 ProviderId: ClaimId: 26086AHR8903 Error: PROVIDER_ID is blank PayerShort: CIGMC MemberId: U7360002201 DependentId: 00 TaxId: 860423068 ProviderId: ClaimId: 2603AISL1102 Error: PROVIDER_ID is blank PayerShort: CIGMC MemberId: U7559048901 DependentId: 00 TaxId: 860423068 ProviderId: ClaimId: 26011ADR4403 Error: PROVIDER_ID is blank PayerShort: CIGMC MemberId: U7378856101 DependentId: 00 TaxId: 860423068 ProviderId: ClaimId: 26011AHB6303 Error: PROVIDER_ID is blank PayerShort: CIGMC MemberId: U7855440001 DependentId: 00 TaxId: 860423068 ProviderId: ClaimId: 2602AKAY4002 Error: PROVIDER_ID is blank PayerShort: CIGMC MemberId: U8111158901 DependentId: 00 TaxId: 860423068 ProviderId: ClaimId: 2602ACJE0002 Error: PROVIDER_ID is blank PayerShort: CIGMC MemberId: U4764022101 DependentId: 00 TaxId: 860423068 ProviderId: ClaimId: 26060AMR8203 Error: PROVIDER_ID is blank PayerShort: CIGMC MemberId: U7926774301 DependentId: 00 TaxId: 860423068 ProviderId: ClaimId: 2603AIBN3202 Error: PROVIDER_ID is blank PayerShort: CIGMC MemberId: U8545960001 DependentId: 00 TaxId: 860423068 ProviderId: ClaimId: 25347AEJ4803 Error: PROVIDER_ID is blank PayerShort: CIGMC MemberId: U8132207701 DependentId: 00 TaxId: 860423068 ProviderId: ClaimId: 2602AMKJ2303 Error: PROVIDER_ID is blank PayerShort: CIGMC MemberId: U6813433601 DependentId: 00 TaxId: 860423068 ProviderId: ClaimId: 2603AMRK4303 Error: PROVIDER_ID is blank PayerShort: CIGMC MemberId: U8017227601 DependentId: 00 TaxId: 860423068 ProviderId: ClaimId: 26053AMC2103 Error: PROVIDER_ID is blank PayerShort: CIGMC MemberId: U4957953401 DependentId: 00 TaxId: 860423068 ProviderId: ClaimId: 2604ACIZ5402 Error: PROVIDER_ID is blank PayerShort: CIGMC MemberId: U0510864401 DependentId: 00 TaxId: 860423068 ProviderId: ClaimId: 25342ABE5503 Error: PROVIDER_ID is blank PayerShort: CIGMC MemberId: U4797096101 DependentId: 00 TaxId: 860423068 ProviderId: ClaimId: 2603ALCP4202 Error: PROVIDER_ID is blank PayerShort: CIGMC MemberId: U7028228301 DependentId: 00 TaxId: 860423068 ProviderId: ClaimId: 2602AEQM5103 Error: PROVIDER_ID is blank PayerShort: CIGMC MemberId: U4203500101 DependentId: 00 TaxId: 860423068 ProviderId: ClaimId: 2603AGEW0803 Error: PROVIDER_ID is blank PayerShort: CIGMC MemberId: U8832970401 DependentId: 00 TaxId: 860423068 ProviderId: ClaimId: 25362AHF8303 Error: PROVIDER_ID is blank PayerShort: CIGMC MemberId: U4957953401 DependentId: 00 TaxId: 860423068 ProviderId: ClaimId: 2604AEJN5902 Error: PROVIDER_ID is blank PayerShort: CIGMC MemberId: U8400748701 DependentId: 00 TaxId: 860423068 ProviderId: ClaimId: 2603AFAZ1402 Error: PROVIDER_ID is blank PayerShort: CIGMC MemberId: U8017227601 DependentId: 00 TaxId: 860423068 ProviderId: ClaimId: 26099AAF3102 Error: PROVIDER_ID is blank PayerShort: CIGMC MemberId: U7683602501 DependentId: 00 TaxId: 860423068 ProviderId: ClaimId: 2601AMMQ3903 Error: PROVIDER_ID is blank PayerShort: CIGMC MemberId: U7028228301 DependentId: 00 TaxId: 860423068 ProviderId: ClaimId: 2603ALTB6402 Error: PROVIDER_ID is blank PayerShort: CIGMC MemberId: U7683602501 DependentId: 00 TaxId: 860423068 ProviderId: ClaimId: 26060AMI9102 Error: PROVIDER_ID is blank PayerShort: CIGMC MemberId: U4797096101 DependentId: 00 TaxId: 860423068 ProviderId: ClaimId: 26044ADF4603 Error: PROVIDER_ID is blank PayerShort: CIGMC MemberId: U5498193301 DependentId: 00 TaxId: 860423068 ProviderId: ClaimId: 2603AMRJ7302 Error: PROVIDER_ID is blank Edwards, Andrea , Email has been sent requesting a replacement file. Thank you.</t>
        </is>
      </c>
      <c r="G4" s="47" t="inlineStr"/>
      <c r="H4" s="109" t="inlineStr">
        <is>
          <t>Other</t>
        </is>
      </c>
      <c r="I4" s="109" t="inlineStr">
        <is>
          <t>Other</t>
        </is>
      </c>
      <c r="J4" s="109" t="inlineStr"/>
      <c r="K4" s="109" t="inlineStr">
        <is>
          <t>Open</t>
        </is>
      </c>
      <c r="L4" s="109" t="inlineStr">
        <is>
          <t>2026-05-25</t>
        </is>
      </c>
      <c r="M4" s="109" t="inlineStr">
        <is>
          <t>2026-05-26</t>
        </is>
      </c>
      <c r="N4" s="109" t="inlineStr">
        <is>
          <t>Nile Production Support</t>
        </is>
      </c>
      <c r="O4" s="109" t="inlineStr">
        <is>
          <t>Unassigned</t>
        </is>
      </c>
      <c r="P4" s="109" t="inlineStr">
        <is>
          <t>Edwards, Andrea</t>
        </is>
      </c>
      <c r="Q4" s="109" t="inlineStr">
        <is>
          <t>Unresolved</t>
        </is>
      </c>
      <c r="R4" s="47" t="inlineStr">
        <is>
          <t>CIGMC|T|0030212|20260525|122|P TRAILER|122|20260525|030051 The Run Results Log: PayerShort: CIGMC MemberId: 46L8X1F16 DependentId: 00 TaxId: 860423068 ProviderId: ClaimId: 2602AHRW5403 Error: PROVIDER_ID is blank PayerShort: CIGMC MemberId: 17F5R3X35 DependentId: 00 TaxId: 562589722 ProviderId: ClaimId: 26100ALQ9802 Error: PROVIDER_ID is blank PayerShort: CIGMC MemberId: 16F6F4F18 DependentId: 00 TaxId: 860423068 ProviderId: ClaimId: 2604AIGF0902 Error: PROVIDER_ID is blank PayerShort: CIGMC MemberId: 41F8L9F47 DependentId: 00 TaxId: 860423068 ProviderId: ClaimId: 25340ACO6503 Error: PROVIDER_ID is blank PayerShort: CIGMC MemberId: 33F3U7L83 DependentId: 00 TaxId: 860423068 ProviderId: ClaimId: 26018AQU5503 Error: PROVIDER_ID is blank PayerShort: CIGMC MemberId: 53F3L3X22 DependentId: 00 TaxId: 860423068 ProviderId: ClaimId: 2602AITY4003 Error: PROVIDER_ID is blank PayerShort: CIGMC MemberId: 51U5H3H29 DependentId: 00 TaxId: 860423068 ProviderId: ClaimId: 25325AOE4703 Error: PROVIDER_ID is blank PayerShort: CIGMC MemberId: 65L5U9U61 DependentId: 00 TaxId: 860423068 ProviderId: ClaimId: 2601AETH2603 Error: PROVIDER_ID is blank PayerShort: CIGMC MemberId: 66R6F1X93 DependentId: 00 TaxId: 860423068 ProviderId: ClaimId: 2602ALZC9103 Error: PROVIDER_ID is blank PayerShort: CIGMC MemberId: 67L4H2A46 DependentId: 00 TaxId: 860423068 ProviderId: ClaimId: 2603AEMR5503 Error: PROVIDER_ID is blank PayerShort: CIGMC MemberId: 68R7H5H63 DependentId: 00 TaxId: 860423068 ProviderId: ClaimId: 2603AISL6202 Error: PROVIDER_ID is blank PayerShort: CIGMC MemberId: 67H7F5R12 DependentId: 00 TaxId: 860423068 ProviderId: ClaimId: 25353AJD7303 Error: PROVIDER_ID is blank PayerShort: CIGMC MemberId: U0382172801 DependentId: 00 TaxId: 860423068 ProviderId: ClaimId: 2603AEMP5503 Error: PROVIDER_ID is blank PayerShort: CIGMC MemberId: U0385651101 DependentId: 00 TaxId: 860423068 ProviderId: ClaimId: 26072AFK8703 Error: PROVIDER_ID is blank PayerShort: CIGMC MemberId: U0701128101 DependentId: 00 TaxId: 860423068 ProviderId: ClaimId: 26044AHN6803 Error: PROVIDER_ID is blank PayerShort: CIGMC MemberId: U0474677401 DependentId: 00 TaxId: 860423068 ProviderId: ClaimId: 2602ACEN0803 Error: PROVIDER_ID is blank PayerShort: CIGMC MemberId: U1538699201 DependentId: 00 TaxId: 860423068 ProviderId: ClaimId: 25359ANZ3403 Error: PROVIDER_ID is blank PayerShort: CIGMC MemberId: U1573945601 DependentId: 00 TaxId: 860423068 ProviderId: ClaimId: 2603AISJ5303 Error: PROVIDER_ID is blank PayerShort: CIGMC MemberId: U1571966801 DependentId: 00 TaxId: 860423068 ProviderId: ClaimId: 2605AAEN3802 Error: PROVIDER_ID is blank PayerShort: CIGMC MemberId: U1573128301 DependentId: 00 TaxId: 860423068 ProviderId: ClaimId: 2601AETG8603 Error: PROVIDER_ID is blank PayerShort: CIGMC MemberId: U0730121801 DependentId: 00 TaxId: 860423068 ProviderId: ClaimId: 26024APP6403 Error: PROVIDER_ID is blank PayerShort: CIGMC MemberId: U2426297901 DependentId: 00 TaxId: 860423068 ProviderId: ClaimId: 25333AEP1803 Error: PROVIDER_ID is blank PayerShort: CIGMC MemberId: U0730121801 DependentId: 00 TaxId: 860423068 ProviderId: ClaimId: 26040BJF9703 Error: PROVIDER_ID is blank PayerShort: CIGMC MemberId: U3303139001 DependentId: 00 TaxId: 860423068 ProviderId: ClaimId: 26011ADE3503 Error: PROVIDER_ID is blank PayerShort: CIGMC MemberId: 72H1F8H14 DependentId: 00 TaxId: 860423068 ProviderId: ClaimId: 26042AQY7003 Error: PROVIDER_ID is blank PayerShort: CIGMC MemberId: U2970437501 DependentId: 00 TaxId: 860423068 ProviderId: ClaimId: 2601AEWJ5503 Error: PROVIDER_ID is blank PayerShort: CIGMC MemberId: U2970437501 DependentId: 00 TaxId: 562589722 ProviderId: ClaimId: 2604AESC2302 Error: PROVIDER_ID is blank PayerShort: CIGMC MemberId: U3712615301 DependentId: 00 TaxId: 860423068 ProviderId: ClaimId: 26032ALP9703 Error: PROVIDER_ID is blank PayerShort: CIGMC MemberId: U4005072401 DependentId: 00 TaxId: 860423068 ProviderId: ClaimId: 25347ACV2303 Error: PROVIDER_ID is blank PayerShort: CIGMC MemberId: U3386440301 DependentId: 00 TaxId: 860423068 ProviderId: ClaimId: 2601AMMP2303 Error: PROVIDER_ID is blank PayerShort: CIGMC MemberId: U3386440301 DependentId: 00 TaxId: 860423068 ProviderId: ClaimId: 26060ALF8503 Error: PROVIDER_ID is blank PayerShort: CIGMC MemberId: U4451238801 DependentId: 00 TaxId: 860423068 ProviderId: ClaimId: 2602AKFC6103 Error: PROVIDER_ID is blank PayerShort: CIGMC MemberId: U3092575501 DependentId: 00 TaxId: 860423068 ProviderId: ClaimId: 2604AJKW2502 Error: PROVIDER_ID is blank PayerShort: CIGMC MemberId: U3734133101 DependentId: 00 TaxId: 562589722 ProviderId: ClaimId: 2602AMIR3703 Error: PROVIDER_ID is blank PayerShort: CIGMC MemberId: U5075929901 DependentId: 00 TaxId: 860423068 ProviderId: ClaimId: 25342ABH2303 Error: PROVIDER_ID is blank PayerShort: CIGMC MemberId: U5001358301 DependentId: 00 TaxId: 860423068 ProviderId: ClaimId: 25362AHO8003 Error: PROVIDER_ID is blank PayerShort: CIGMC MemberId: U3121076301 DependentId: 00 TaxId: 860423068 ProviderId: ClaimId: 2604ADTY6802 Error: PROVIDER_ID is blank PayerShort: CIGMC MemberId: U4463236301 DependentId: 00 TaxId: 860423068 ProviderId: ClaimId: 2604AIBU7702 Error: PROVIDER_ID is blank PayerShort: CIGMC MemberId: U7141495101 DependentId: 00 TaxId: 860423068 ProviderId: ClaimId: 26086AHR8903 Error: PROVIDER_ID is blank PayerShort: CIGMC MemberId: U7360002201 DependentId: 00 TaxId: 860423068 ProviderId: ClaimId: 2603AISL1102 Error: PROVIDER_ID is blank PayerShort: CIGMC MemberId: U7559048901 DependentId: 00 TaxId: 860423068 ProviderId: ClaimId: 26011ADR4403 Error: PROVIDER_ID is blank PayerShort: CIGMC MemberId: U7378856101 DependentId: 00 TaxId: 860423068 ProviderId: ClaimId: 26011AHB6303 Error: PROVIDER_ID is blank PayerShort: CIGMC MemberId: U7855440001 DependentId: 00 TaxId: 860423068 ProviderId: ClaimId: 2602AKAY4002 Error: PROVIDER_ID is blank PayerShort: CIGMC MemberId: U8111158901 DependentId: 00 TaxId: 860423068 ProviderId: ClaimId: 2602ACJE0002 Error: PROVIDER_ID is blank PayerShort: CIGMC MemberId: U4764022101 DependentId: 00 TaxId: 860423068 ProviderId: ClaimId: 26060AMR8203 Error: PROVIDER_ID is blank PayerShort: CIGMC MemberId: U7926774301 DependentId: 00 TaxId: 860423068 ProviderId: ClaimId: 2603AIBN3202 Error: PROVIDER_ID is blank PayerShort: CIGMC MemberId: U8545960001 DependentId: 00 TaxId: 860423068 ProviderId: ClaimId: 25347AEJ4803 Error: PROVIDER_ID is blank PayerShort: CIGMC MemberId: U8132207701 DependentId: 00 TaxId: 860423068 ProviderId: ClaimId: 2602AMKJ2303 Error: PROVIDER_ID is blank PayerShort: CIGMC MemberId: U6813433601 DependentId: 00 TaxId: 860423068 ProviderId: ClaimId: 2603AMRK4303 Error: PROVIDER_ID is blank PayerShort: CIGMC MemberId: U8017227601 DependentId: 00 TaxId: 860423068 ProviderId: ClaimId: 26053AMC2103 Error: PROVIDER_ID is blank PayerShort: CIGMC MemberId: U4957953401 DependentId: 00 TaxId: 860423068 ProviderId: ClaimId: 2604ACIZ5402 Error: PROVIDER_ID is blank PayerShort: CIGMC MemberId: U0510864401 DependentId: 00 TaxId: 860423068 ProviderId: ClaimId: 25342ABE5503 Error: PROVIDER_ID is blank PayerShort: CIGMC MemberId: U4797096101 DependentId: 00 TaxId: 860423068 ProviderId: ClaimId: 2603ALCP4202 Error: PROVIDER_ID is blank PayerShort: CIGMC MemberId: U7028228301 DependentId: 00 TaxId: 860423068 ProviderId: ClaimId: 2602AEQM5103 Error: PROVIDER_ID is blank PayerShort: CIGMC MemberId: U4203500101 DependentId: 00 TaxId: 860423068 ProviderId: ClaimId: 2603AGEW0803 Error: PROVIDER_ID is blank PayerShort: CIGMC MemberId: U8832970401 DependentId: 00 TaxId: 860423068 ProviderId: ClaimId: 25362AHF8303 Error: PROVIDER_ID is blank PayerShort: CIGMC MemberId: U4957953401 DependentId: 00 TaxId: 860423068 ProviderId: ClaimId: 2604AEJN5902 Error: PROVIDER_ID is blank PayerShort: CIGMC MemberId: U8400748701 DependentId: 00 TaxId: 860423068 ProviderId: ClaimId: 2603AFAZ1402 Error: PROVIDER_ID is blank PayerShort: CIGMC MemberId: U8017227601 DependentId: 00 TaxId: 860423068 ProviderId: ClaimId: 26099AAF3102 Error: PROVIDER_ID is blank PayerShort: CIGMC MemberId: U7683602501 DependentId: 00 TaxId: 860423068 ProviderId: ClaimId: 2601AMMQ3903 Error: PROVIDER_ID is blank PayerShort: CIGMC MemberId: U7028228301 DependentId: 00 TaxId: 860423068 ProviderId: ClaimId: 2603ALTB6402 Error: PROVIDER_ID is blank PayerShort: CIGMC MemberId: U7683602501 DependentId: 00 TaxId: 860423068 ProviderId: ClaimId: 26060AMI9102 Error: PROVIDER_ID is blank PayerShort: CIGMC MemberId: U4797096101 DependentId: 00 TaxId: 860423068 ProviderId: ClaimId: 26044ADF4603 Error: PROVIDER_ID is blank PayerShort: CIGMC MemberId: U5498193301 DependentId: 00 TaxId: 860423068 ProviderId: ClaimId: 2603AMRJ7302 Error: PROVIDER_ID is blank Edwards, Andrea , Email has been sent requesting a replacement file. Thank you.</t>
        </is>
      </c>
      <c r="S4" s="109" t="inlineStr"/>
      <c r="T4" s="109" t="inlineStr"/>
      <c r="U4" s="109" t="inlineStr"/>
      <c r="V4" s="110" t="inlineStr">
        <is>
          <t>Other</t>
        </is>
      </c>
      <c r="W4" s="109" t="inlineStr">
        <is>
          <t>Yes</t>
        </is>
      </c>
    </row>
    <row r="5">
      <c r="A5" s="107" t="inlineStr">
        <is>
          <t>IT-3084147</t>
        </is>
      </c>
      <c r="B5" s="107" t="inlineStr">
        <is>
          <t>IT-3084147</t>
        </is>
      </c>
      <c r="C5" s="107" t="inlineStr"/>
      <c r="D5" s="44" t="inlineStr">
        <is>
          <t>Schedule rccv-molina-molina-tba_institutional_RCA-GDF2_0_CDF2_1 (v1.6)</t>
        </is>
      </c>
      <c r="E5" s="44" t="inlineStr">
        <is>
          <t>Ticket is open to self-track (assign this to Melly): This pipeline has been run manually for months; Per Jason Waud, we can schedule rccv Molina on 15th of the month. Thanks melly</t>
        </is>
      </c>
      <c r="F5" s="44" t="inlineStr"/>
      <c r="G5" s="44" t="inlineStr"/>
      <c r="H5" s="107" t="inlineStr">
        <is>
          <t>Other</t>
        </is>
      </c>
      <c r="I5" s="107" t="inlineStr">
        <is>
          <t>Other</t>
        </is>
      </c>
      <c r="J5" s="107" t="inlineStr"/>
      <c r="K5" s="107" t="inlineStr">
        <is>
          <t>Open</t>
        </is>
      </c>
      <c r="L5" s="107" t="inlineStr">
        <is>
          <t>2026-05-25</t>
        </is>
      </c>
      <c r="M5" s="107" t="inlineStr">
        <is>
          <t>2026-05-26</t>
        </is>
      </c>
      <c r="N5" s="107" t="inlineStr">
        <is>
          <t>Nile Production Support</t>
        </is>
      </c>
      <c r="O5" s="107" t="inlineStr">
        <is>
          <t>Unassigned</t>
        </is>
      </c>
      <c r="P5" s="107" t="inlineStr">
        <is>
          <t>Suryani, Melly</t>
        </is>
      </c>
      <c r="Q5" s="107" t="inlineStr">
        <is>
          <t>Unresolved</t>
        </is>
      </c>
      <c r="R5" s="44" t="inlineStr"/>
      <c r="S5" s="107" t="inlineStr"/>
      <c r="T5" s="107" t="inlineStr"/>
      <c r="U5" s="107" t="inlineStr"/>
      <c r="V5" s="111" t="inlineStr">
        <is>
          <t>Pipeline Schedule</t>
        </is>
      </c>
      <c r="W5" s="107" t="inlineStr"/>
    </row>
    <row r="6">
      <c r="A6" s="109" t="inlineStr">
        <is>
          <t>IT-3080344</t>
        </is>
      </c>
      <c r="B6" s="109" t="inlineStr">
        <is>
          <t>IT-3080344</t>
        </is>
      </c>
      <c r="C6" s="109" t="inlineStr"/>
      <c r="D6" s="47" t="inlineStr">
        <is>
          <t>RCCV-HighMark-HighMark-Claims pipeline failure for 20260523</t>
        </is>
      </c>
      <c r="E6" s="47" t="inlineStr">
        <is>
          <t>Hi Team, RCCV-HighMark-HighMark-Claims: this pipeline has failed at write-failed_mc_field. It's monthly As a result, I think it was not able to complete entire steps. I am trying to understand what's the issue. But if this is a priority could someone please look into this as well? I will be looking at it but this is new to me and I don't have edit access.</t>
        </is>
      </c>
      <c r="F6" s="47" t="inlineStr">
        <is>
          <t>pipeline failed due to the below Your Spark job failed because a broadcast operation timed out during execution. I have resolved the rccv highmark pipeline issue, and the pipeline process has been completed successfully. I have resolved the rccv highmark pipeline issue, and the pipeline process has been completed successfully.</t>
        </is>
      </c>
      <c r="G6" s="47" t="inlineStr">
        <is>
          <t>I have resolved the rccv highmark pipeline issue, and the pipeline process has been completed successfully.</t>
        </is>
      </c>
      <c r="H6" s="109" t="inlineStr">
        <is>
          <t>Other</t>
        </is>
      </c>
      <c r="I6" s="109" t="inlineStr">
        <is>
          <t>Other</t>
        </is>
      </c>
      <c r="J6" s="109" t="inlineStr"/>
      <c r="K6" s="109" t="inlineStr">
        <is>
          <t>Closed</t>
        </is>
      </c>
      <c r="L6" s="109" t="inlineStr">
        <is>
          <t>2026-05-25</t>
        </is>
      </c>
      <c r="M6" s="109" t="inlineStr">
        <is>
          <t>2026-05-25</t>
        </is>
      </c>
      <c r="N6" s="109" t="inlineStr">
        <is>
          <t>Nile Production Support</t>
        </is>
      </c>
      <c r="O6" s="109" t="inlineStr">
        <is>
          <t>Unassigned</t>
        </is>
      </c>
      <c r="P6" s="109" t="inlineStr">
        <is>
          <t>Kantimahanti, Ravisankar</t>
        </is>
      </c>
      <c r="Q6" s="109" t="inlineStr">
        <is>
          <t>Resolved</t>
        </is>
      </c>
      <c r="R6" s="47" t="inlineStr">
        <is>
          <t>pipeline failed due to the below Your Spark job failed because a broadcast operation timed out during execution. I have resolved the rccv highmark pipeline issue, and the pipeline process has been completed successfully. I have resolved the rccv highmark pipeline issue, and the pipeline process has been completed successfully.</t>
        </is>
      </c>
      <c r="S6" s="109" t="inlineStr"/>
      <c r="T6" s="109" t="inlineStr"/>
      <c r="U6" s="109" t="inlineStr"/>
      <c r="V6" s="112" t="inlineStr">
        <is>
          <t>Pipeline Schedule</t>
        </is>
      </c>
      <c r="W6" s="109" t="inlineStr"/>
    </row>
    <row r="7">
      <c r="A7" s="107" t="inlineStr">
        <is>
          <t>IT-3080307</t>
        </is>
      </c>
      <c r="B7" s="107" t="inlineStr">
        <is>
          <t>IT-3080307</t>
        </is>
      </c>
      <c r="C7" s="107" t="inlineStr"/>
      <c r="D7" s="44" t="inlineStr">
        <is>
          <t>Peer Review Request for Refactored rca_emblem_emblem_claims Pipeline</t>
        </is>
      </c>
      <c r="E7" s="44" t="inlineStr">
        <is>
          <t>Hello Malireddy, Krishna , Kindly review the rca_emblem_emblem_claims_spark3 pipeline in the dev environment for version V3.13.</t>
        </is>
      </c>
      <c r="F7" s="44" t="inlineStr"/>
      <c r="G7" s="44" t="inlineStr"/>
      <c r="H7" s="107" t="inlineStr">
        <is>
          <t>Other</t>
        </is>
      </c>
      <c r="I7" s="107" t="inlineStr">
        <is>
          <t>Other</t>
        </is>
      </c>
      <c r="J7" s="107" t="inlineStr"/>
      <c r="K7" s="107" t="inlineStr">
        <is>
          <t>Open</t>
        </is>
      </c>
      <c r="L7" s="107" t="inlineStr">
        <is>
          <t>2026-05-25</t>
        </is>
      </c>
      <c r="M7" s="107" t="inlineStr">
        <is>
          <t>2026-05-25</t>
        </is>
      </c>
      <c r="N7" s="107" t="inlineStr">
        <is>
          <t>Nile Production Support</t>
        </is>
      </c>
      <c r="O7" s="107" t="inlineStr">
        <is>
          <t>Unassigned</t>
        </is>
      </c>
      <c r="P7" s="107" t="inlineStr">
        <is>
          <t>Karakavalasa, SriVarshini</t>
        </is>
      </c>
      <c r="Q7" s="107" t="inlineStr">
        <is>
          <t>Unresolved</t>
        </is>
      </c>
      <c r="R7" s="44" t="inlineStr"/>
      <c r="S7" s="107" t="inlineStr"/>
      <c r="T7" s="107" t="inlineStr"/>
      <c r="U7" s="107" t="inlineStr"/>
      <c r="V7" s="113" t="inlineStr">
        <is>
          <t>Other</t>
        </is>
      </c>
      <c r="W7" s="107" t="inlineStr">
        <is>
          <t>Yes</t>
        </is>
      </c>
    </row>
    <row r="8">
      <c r="A8" s="109" t="inlineStr">
        <is>
          <t>IT-3078931</t>
        </is>
      </c>
      <c r="B8" s="109" t="inlineStr">
        <is>
          <t>IT-3078931</t>
        </is>
      </c>
      <c r="C8" s="109" t="inlineStr"/>
      <c r="D8" s="47" t="inlineStr">
        <is>
          <t>OSCAR - History Prof. file failure - 05/23/2026</t>
        </is>
      </c>
      <c r="E8" s="47" t="inlineStr">
        <is>
          <t>Hi Nile Team, Following file failed due to below error. Could you please check with client and resend corrected file for processing. File : oscar_history_incoming_1.05-23-2026_0920 QA Status : FAILED Reason : FAILED - Excessive failed lines (~100%) The QA Log: QA Test Name: dos2unix_check Pre/Post Run: 0 Result: PASSED QA Test Name: zero_length Pre/Post Run: 0 Result: PASSED QA Test Name: is_headtrail_hdr Pre/Post Run: 0 Result: PASSED QA Test Name: is_headtrail_tlr Pre/Post Run: 0 Result: PASSED QA Test Name: is_headtrail_multi Pre/Post Run: 0 Result: PASSED QA Test Name: header_payer Pre/Post Run: 0 Result: PASSED QA Test Name: nametype_match Pre/Post Run: 0 Result: PASSED QA Test Name: linetrail_match Pre/Post Run: 0 Result: PASSED QA Test Name: java_check Pre/Post Run: 0 Result: PASSED QA Test Name: excessive_fails Pre/Post Run: 1 Result: FAILED - Excessive failed lines (~100%) The Run Results Log: PayerShort: OSCAR MemberId: * DependentId: TaxId: 954540991 ProviderId: 1902846306 ClaimId: Error: Lines exceed maximum of 999 OSCAR|H|1379|20260523|6687|R TRAILER|6687|20260523|091043 Sat May 23 09:20:12 EDT 2026 REASONCODE OCCURS(1) OCCURS(2) OCCURS(3) PayerShort: OSCAR Lines exceed maximum of 999 occurs 1 times Total Time: 00:07 File Summary Information Total Claims: 1 Claims Processed: 0 Total Lines: 6687 Lines Processed: 0</t>
        </is>
      </c>
      <c r="F8" s="47" t="inlineStr">
        <is>
          <t>Email has been sent.</t>
        </is>
      </c>
      <c r="G8" s="47" t="inlineStr"/>
      <c r="H8" s="109" t="inlineStr"/>
      <c r="I8" s="109" t="inlineStr"/>
      <c r="J8" s="109" t="inlineStr"/>
      <c r="K8" s="109" t="inlineStr">
        <is>
          <t>Active</t>
        </is>
      </c>
      <c r="L8" s="109" t="inlineStr">
        <is>
          <t>2026-05-23</t>
        </is>
      </c>
      <c r="M8" s="109" t="inlineStr">
        <is>
          <t>2026-05-25</t>
        </is>
      </c>
      <c r="N8" s="109" t="inlineStr">
        <is>
          <t>Nile Production Support</t>
        </is>
      </c>
      <c r="O8" s="109" t="inlineStr">
        <is>
          <t>Unassigned</t>
        </is>
      </c>
      <c r="P8" s="109" t="inlineStr">
        <is>
          <t>Gudala, Kumaraswamy</t>
        </is>
      </c>
      <c r="Q8" s="109" t="inlineStr">
        <is>
          <t>Unresolved</t>
        </is>
      </c>
      <c r="R8" s="47" t="inlineStr">
        <is>
          <t>Email has been sent.</t>
        </is>
      </c>
      <c r="S8" s="109" t="inlineStr"/>
      <c r="T8" s="109" t="inlineStr"/>
      <c r="U8" s="109" t="inlineStr"/>
      <c r="V8" s="114" t="inlineStr">
        <is>
          <t>File Issue</t>
        </is>
      </c>
      <c r="W8" s="109" t="inlineStr"/>
    </row>
    <row r="9">
      <c r="A9" s="107" t="inlineStr">
        <is>
          <t>IT-3077333</t>
        </is>
      </c>
      <c r="B9" s="107" t="inlineStr">
        <is>
          <t>IT-3077333</t>
        </is>
      </c>
      <c r="C9" s="107" t="inlineStr"/>
      <c r="D9" s="44" t="inlineStr">
        <is>
          <t>dm-bcbs_mi_bcbs_mi-actian_migration_claims_fixit Pipeline got failed</t>
        </is>
      </c>
      <c r="E9" s="44" t="inlineStr">
        <is>
          <t>Below Pipeline got failed on DB Writer Stage. dm-bcbs_mi_bcbs_mi-actian_migration_claims_fixit</t>
        </is>
      </c>
      <c r="F9" s="44" t="inlineStr"/>
      <c r="G9" s="44" t="inlineStr"/>
      <c r="H9" s="107" t="inlineStr">
        <is>
          <t>Other</t>
        </is>
      </c>
      <c r="I9" s="107" t="inlineStr">
        <is>
          <t>Other</t>
        </is>
      </c>
      <c r="J9" s="107" t="inlineStr"/>
      <c r="K9" s="107" t="inlineStr">
        <is>
          <t>Open</t>
        </is>
      </c>
      <c r="L9" s="107" t="inlineStr">
        <is>
          <t>2026-05-22</t>
        </is>
      </c>
      <c r="M9" s="107" t="inlineStr">
        <is>
          <t>2026-05-22</t>
        </is>
      </c>
      <c r="N9" s="107" t="inlineStr">
        <is>
          <t>Nile Production Support</t>
        </is>
      </c>
      <c r="O9" s="107" t="inlineStr">
        <is>
          <t>Unassigned</t>
        </is>
      </c>
      <c r="P9" s="107" t="inlineStr">
        <is>
          <t>Aryal, Neerajan</t>
        </is>
      </c>
      <c r="Q9" s="107" t="inlineStr">
        <is>
          <t>Unresolved</t>
        </is>
      </c>
      <c r="R9" s="44" t="inlineStr"/>
      <c r="S9" s="107" t="inlineStr"/>
      <c r="T9" s="107" t="inlineStr"/>
      <c r="U9" s="107" t="inlineStr"/>
      <c r="V9" s="111" t="inlineStr">
        <is>
          <t>Pipeline Schedule</t>
        </is>
      </c>
      <c r="W9" s="107" t="inlineStr"/>
    </row>
    <row r="10">
      <c r="A10" s="109" t="inlineStr">
        <is>
          <t>IT-3077186</t>
        </is>
      </c>
      <c r="B10" s="109" t="inlineStr">
        <is>
          <t>IT-3077186</t>
        </is>
      </c>
      <c r="C10" s="109" t="inlineStr"/>
      <c r="D10" s="47" t="inlineStr">
        <is>
          <t>Please Run MCL Pipeline dm-mcl-mcl-actian_migration_IPSF_INP</t>
        </is>
      </c>
      <c r="E10" s="47" t="inlineStr">
        <is>
          <t>Hello, Nile Team. Please run pipeline dm-mcl-mcl-actian_migration_IPSF_INP . Source file is located here: Y:\Ftp\B2B\MCL-NILE\PSF\2025-12-01\ipsf_inp_2025_12_05.zip Thank you.</t>
        </is>
      </c>
      <c r="F10" s="47" t="inlineStr">
        <is>
          <t>Hello Deynarian, Michael , The execution of the above pipeline was successful. Kindly verify and confirm.</t>
        </is>
      </c>
      <c r="G10" s="47" t="inlineStr"/>
      <c r="H10" s="109" t="inlineStr">
        <is>
          <t>Other</t>
        </is>
      </c>
      <c r="I10" s="109" t="inlineStr">
        <is>
          <t>Other</t>
        </is>
      </c>
      <c r="J10" s="109" t="inlineStr"/>
      <c r="K10" s="109" t="inlineStr">
        <is>
          <t>In Progress (HD1)</t>
        </is>
      </c>
      <c r="L10" s="109" t="inlineStr">
        <is>
          <t>2026-05-22</t>
        </is>
      </c>
      <c r="M10" s="109" t="inlineStr">
        <is>
          <t>2026-05-25</t>
        </is>
      </c>
      <c r="N10" s="109" t="inlineStr">
        <is>
          <t>Nile Production Support</t>
        </is>
      </c>
      <c r="O10" s="109" t="inlineStr">
        <is>
          <t>Unassigned</t>
        </is>
      </c>
      <c r="P10" s="109" t="inlineStr">
        <is>
          <t>Deynarian, Michael</t>
        </is>
      </c>
      <c r="Q10" s="109" t="inlineStr">
        <is>
          <t>Unresolved</t>
        </is>
      </c>
      <c r="R10" s="47" t="inlineStr">
        <is>
          <t>Hello Deynarian, Michael , The execution of the above pipeline was successful. Kindly verify and confirm.</t>
        </is>
      </c>
      <c r="S10" s="109" t="inlineStr"/>
      <c r="T10" s="109" t="inlineStr"/>
      <c r="U10" s="109" t="inlineStr"/>
      <c r="V10" s="114" t="inlineStr">
        <is>
          <t>File Issue</t>
        </is>
      </c>
      <c r="W10" s="109" t="inlineStr"/>
    </row>
    <row r="11">
      <c r="A11" s="107" t="inlineStr">
        <is>
          <t>IT-3076973</t>
        </is>
      </c>
      <c r="B11" s="107" t="inlineStr">
        <is>
          <t>IT-3076973</t>
        </is>
      </c>
      <c r="C11" s="107" t="inlineStr"/>
      <c r="D11" s="44" t="inlineStr">
        <is>
          <t>BCBS_LA cleanup files</t>
        </is>
      </c>
      <c r="E11" s="44" t="inlineStr">
        <is>
          <t>Hello Nile team, please cleanup BCBS_LA ftp once files for weekly Commercial and Medadvantage have been copied over to Nile environment and ingesting was successfully complete. Y:\Ftp\B2B\BCBS_LA\BCBSLAtoCotiviti. i attached the files Thanks, Karyn</t>
        </is>
      </c>
      <c r="F11" s="44" t="inlineStr">
        <is>
          <t>forgot to add this other files as well for the cleanup... bcsla_postcheck_pharmacy_incoming_1cotiviticom_yyyymmdd.txt bcsla_postcheck_pharmacy_incoming_1cotivitima_yyyymmdd.txt</t>
        </is>
      </c>
      <c r="G11" s="44" t="inlineStr"/>
      <c r="H11" s="107" t="inlineStr">
        <is>
          <t>Other</t>
        </is>
      </c>
      <c r="I11" s="107" t="inlineStr">
        <is>
          <t>Other</t>
        </is>
      </c>
      <c r="J11" s="107" t="inlineStr"/>
      <c r="K11" s="107" t="inlineStr">
        <is>
          <t>Open</t>
        </is>
      </c>
      <c r="L11" s="107" t="inlineStr">
        <is>
          <t>2026-05-22</t>
        </is>
      </c>
      <c r="M11" s="107" t="inlineStr">
        <is>
          <t>2026-05-25</t>
        </is>
      </c>
      <c r="N11" s="107" t="inlineStr">
        <is>
          <t>Nile Production Support</t>
        </is>
      </c>
      <c r="O11" s="107" t="inlineStr">
        <is>
          <t>Unassigned</t>
        </is>
      </c>
      <c r="P11" s="107" t="inlineStr">
        <is>
          <t>Cardona, Karyn</t>
        </is>
      </c>
      <c r="Q11" s="107" t="inlineStr">
        <is>
          <t>Unresolved</t>
        </is>
      </c>
      <c r="R11" s="44" t="inlineStr">
        <is>
          <t>forgot to add this other files as well for the cleanup... bcsla_postcheck_pharmacy_incoming_1cotiviticom_yyyymmdd.txt bcsla_postcheck_pharmacy_incoming_1cotivitima_yyyymmdd.txt</t>
        </is>
      </c>
      <c r="S11" s="107" t="inlineStr"/>
      <c r="T11" s="107" t="inlineStr"/>
      <c r="U11" s="107" t="inlineStr"/>
      <c r="V11" s="113" t="inlineStr">
        <is>
          <t>Other</t>
        </is>
      </c>
      <c r="W11" s="107" t="inlineStr">
        <is>
          <t>Yes</t>
        </is>
      </c>
    </row>
    <row r="12">
      <c r="A12" s="109" t="inlineStr">
        <is>
          <t>IT-3076510</t>
        </is>
      </c>
      <c r="B12" s="109" t="inlineStr">
        <is>
          <t>IT-3076510</t>
        </is>
      </c>
      <c r="C12" s="109" t="inlineStr"/>
      <c r="D12" s="47" t="inlineStr">
        <is>
          <t>BCBS_MN schedule a pipeline</t>
        </is>
      </c>
      <c r="E12" s="47" t="inlineStr">
        <is>
          <t>hello team, we have a new pipeline that is currently is not scheduled yet. file location and name: "Y:\Ftp\B2B\BCBS_MN\Incoming\BCBSMN_Vendor_Offshore_Restrictions_Grid_yyyymmddd.txt" please have this schedule monthly as well as the monthly files for bcbs_mn on to run on the 13th of each month. also, please do not remove files from ftp because this is used by another team as well. thanks</t>
        </is>
      </c>
      <c r="F12" s="47" t="inlineStr"/>
      <c r="G12" s="47" t="inlineStr"/>
      <c r="H12" s="109" t="inlineStr">
        <is>
          <t>Other</t>
        </is>
      </c>
      <c r="I12" s="109" t="inlineStr">
        <is>
          <t>Other</t>
        </is>
      </c>
      <c r="J12" s="109" t="inlineStr"/>
      <c r="K12" s="109" t="inlineStr">
        <is>
          <t>Open</t>
        </is>
      </c>
      <c r="L12" s="109" t="inlineStr">
        <is>
          <t>2026-05-22</t>
        </is>
      </c>
      <c r="M12" s="109" t="inlineStr">
        <is>
          <t>2026-05-25</t>
        </is>
      </c>
      <c r="N12" s="109" t="inlineStr">
        <is>
          <t>Nile Production Support</t>
        </is>
      </c>
      <c r="O12" s="109" t="inlineStr">
        <is>
          <t>Unassigned</t>
        </is>
      </c>
      <c r="P12" s="109" t="inlineStr">
        <is>
          <t>Cardona, Karyn</t>
        </is>
      </c>
      <c r="Q12" s="109" t="inlineStr">
        <is>
          <t>Unresolved</t>
        </is>
      </c>
      <c r="R12" s="47" t="inlineStr"/>
      <c r="S12" s="109" t="inlineStr"/>
      <c r="T12" s="109" t="inlineStr"/>
      <c r="U12" s="109" t="inlineStr"/>
      <c r="V12" s="112" t="inlineStr">
        <is>
          <t>Pipeline Schedule</t>
        </is>
      </c>
      <c r="W12" s="109" t="inlineStr"/>
    </row>
    <row r="13">
      <c r="A13" s="107" t="inlineStr">
        <is>
          <t>IT-3075715</t>
        </is>
      </c>
      <c r="B13" s="107" t="inlineStr">
        <is>
          <t>IT-3075715</t>
        </is>
      </c>
      <c r="C13" s="107" t="inlineStr"/>
      <c r="D13" s="44" t="inlineStr">
        <is>
          <t>Humana ARK Notouch Prod Transition Documents</t>
        </is>
      </c>
      <c r="E13" s="44" t="inlineStr">
        <is>
          <t>Hello Team, Please find the prod transition checklist documents for Humana ARK Notouch below: Checklist: Humana ARK Notouch DataIgestion_Production_Job_Transition_Checklist.docx Escalation Doc: Humana - Joint Data Escalation Plan Enterprise External APPROVED.xlsx</t>
        </is>
      </c>
      <c r="F13" s="44" t="inlineStr"/>
      <c r="G13" s="44" t="inlineStr"/>
      <c r="H13" s="107" t="inlineStr">
        <is>
          <t>Other</t>
        </is>
      </c>
      <c r="I13" s="107" t="inlineStr">
        <is>
          <t>Other</t>
        </is>
      </c>
      <c r="J13" s="107" t="inlineStr"/>
      <c r="K13" s="107" t="inlineStr">
        <is>
          <t>Open</t>
        </is>
      </c>
      <c r="L13" s="107" t="inlineStr">
        <is>
          <t>2026-05-22</t>
        </is>
      </c>
      <c r="M13" s="107" t="inlineStr">
        <is>
          <t>2026-05-25</t>
        </is>
      </c>
      <c r="N13" s="107" t="inlineStr">
        <is>
          <t>Nile Production Support</t>
        </is>
      </c>
      <c r="O13" s="107" t="inlineStr">
        <is>
          <t>Unassigned</t>
        </is>
      </c>
      <c r="P13" s="107" t="inlineStr">
        <is>
          <t>Shaik, Parveena</t>
        </is>
      </c>
      <c r="Q13" s="107" t="inlineStr">
        <is>
          <t>Unresolved</t>
        </is>
      </c>
      <c r="R13" s="44" t="inlineStr"/>
      <c r="S13" s="107" t="inlineStr"/>
      <c r="T13" s="107" t="inlineStr"/>
      <c r="U13" s="107" t="inlineStr"/>
      <c r="V13" s="115" t="inlineStr">
        <is>
          <t>Spooler issue</t>
        </is>
      </c>
      <c r="W13" s="107" t="inlineStr"/>
    </row>
    <row r="14">
      <c r="A14" s="109" t="inlineStr">
        <is>
          <t>IT-3075679</t>
        </is>
      </c>
      <c r="B14" s="109" t="inlineStr">
        <is>
          <t>IT-3075679</t>
        </is>
      </c>
      <c r="C14" s="109" t="inlineStr"/>
      <c r="D14" s="47" t="inlineStr">
        <is>
          <t>Ranger policy - Add members to external AD groups accordingly</t>
        </is>
      </c>
      <c r="E14" s="47" t="inlineStr">
        <is>
          <t>Requested members has to be added to CCV client external AD groups and RCA clients external AD groups</t>
        </is>
      </c>
      <c r="F14" s="47" t="inlineStr"/>
      <c r="G14" s="47" t="inlineStr"/>
      <c r="H14" s="109" t="inlineStr">
        <is>
          <t>Other</t>
        </is>
      </c>
      <c r="I14" s="109" t="inlineStr">
        <is>
          <t>Other</t>
        </is>
      </c>
      <c r="J14" s="109" t="inlineStr"/>
      <c r="K14" s="109" t="inlineStr">
        <is>
          <t>Open</t>
        </is>
      </c>
      <c r="L14" s="109" t="inlineStr">
        <is>
          <t>2026-05-22</t>
        </is>
      </c>
      <c r="M14" s="109" t="inlineStr">
        <is>
          <t>2026-05-22</t>
        </is>
      </c>
      <c r="N14" s="109" t="inlineStr">
        <is>
          <t>Nile Production Support</t>
        </is>
      </c>
      <c r="O14" s="109" t="inlineStr">
        <is>
          <t>Unassigned</t>
        </is>
      </c>
      <c r="P14" s="109" t="inlineStr">
        <is>
          <t>Malireddy, Krishna</t>
        </is>
      </c>
      <c r="Q14" s="109" t="inlineStr">
        <is>
          <t>Unresolved</t>
        </is>
      </c>
      <c r="R14" s="47" t="inlineStr"/>
      <c r="S14" s="109" t="inlineStr"/>
      <c r="T14" s="109" t="inlineStr"/>
      <c r="U14" s="109" t="inlineStr"/>
      <c r="V14" s="110" t="inlineStr">
        <is>
          <t>Other</t>
        </is>
      </c>
      <c r="W14" s="109" t="inlineStr">
        <is>
          <t>Yes</t>
        </is>
      </c>
    </row>
    <row r="15">
      <c r="A15" s="107" t="inlineStr">
        <is>
          <t>IT-3075675</t>
        </is>
      </c>
      <c r="B15" s="107" t="inlineStr">
        <is>
          <t>IT-3075675</t>
        </is>
      </c>
      <c r="C15" s="107" t="inlineStr"/>
      <c r="D15" s="44" t="inlineStr">
        <is>
          <t>Caresource New market RCA Investigation</t>
        </is>
      </c>
      <c r="E15" s="44" t="inlineStr">
        <is>
          <t>CareSource is adding a new market (FL TriCare) to their data feed. Below are the details: Payer short CSTRI, which will map to ClientLOB Insurance ID is CSTC which will map to GroupNum LOB is Federal which will map as FED to ClientDiv Test file received (see attached image) CnlyExp is 24 months from paid date CnlyLap is 30 days from paid date Need test file made available in Hue for Ops sign off and validation the above has been put into place. Once sign off is received, the client will send a backsweep file back to 1/1/2026</t>
        </is>
      </c>
      <c r="F15" s="44" t="inlineStr"/>
      <c r="G15" s="44" t="inlineStr"/>
      <c r="H15" s="107" t="inlineStr">
        <is>
          <t>Other</t>
        </is>
      </c>
      <c r="I15" s="107" t="inlineStr">
        <is>
          <t>Other</t>
        </is>
      </c>
      <c r="J15" s="107" t="inlineStr"/>
      <c r="K15" s="107" t="inlineStr">
        <is>
          <t>Open</t>
        </is>
      </c>
      <c r="L15" s="107" t="inlineStr">
        <is>
          <t>2026-05-22</t>
        </is>
      </c>
      <c r="M15" s="107" t="inlineStr">
        <is>
          <t>2026-05-22</t>
        </is>
      </c>
      <c r="N15" s="107" t="inlineStr">
        <is>
          <t>Nile Production Support</t>
        </is>
      </c>
      <c r="O15" s="107" t="inlineStr">
        <is>
          <t>Unassigned</t>
        </is>
      </c>
      <c r="P15" s="107" t="inlineStr">
        <is>
          <t>Malireddy, Krishna</t>
        </is>
      </c>
      <c r="Q15" s="107" t="inlineStr">
        <is>
          <t>Unresolved</t>
        </is>
      </c>
      <c r="R15" s="44" t="inlineStr"/>
      <c r="S15" s="107" t="inlineStr"/>
      <c r="T15" s="107" t="inlineStr"/>
      <c r="U15" s="107" t="inlineStr"/>
      <c r="V15" s="113" t="inlineStr">
        <is>
          <t>Other</t>
        </is>
      </c>
      <c r="W15" s="107" t="inlineStr">
        <is>
          <t>Yes</t>
        </is>
      </c>
    </row>
    <row r="16">
      <c r="A16" s="109" t="inlineStr">
        <is>
          <t>IT-3075544</t>
        </is>
      </c>
      <c r="B16" s="109" t="inlineStr">
        <is>
          <t>IT-3075544</t>
        </is>
      </c>
      <c r="C16" s="109" t="inlineStr"/>
      <c r="D16" s="47" t="inlineStr">
        <is>
          <t>dm-uhc-unet-actian_migration_provider_npi_detail failed in db_writer stage due to source file schema not matching with the Table Schema</t>
        </is>
      </c>
      <c r="E16" s="47" t="inlineStr">
        <is>
          <t>Pipeline: dm-uhc-unet-actian_migration_provider_npi_detail failed in db_writer stage due to Source file schema is not matching with the Table Schema, Please check Column names and their Data-types.</t>
        </is>
      </c>
      <c r="F16" s="47" t="inlineStr"/>
      <c r="G16" s="47" t="inlineStr"/>
      <c r="H16" s="109" t="inlineStr">
        <is>
          <t>Other</t>
        </is>
      </c>
      <c r="I16" s="109" t="inlineStr">
        <is>
          <t>Other</t>
        </is>
      </c>
      <c r="J16" s="109" t="inlineStr"/>
      <c r="K16" s="109" t="inlineStr">
        <is>
          <t>In Progress (HD1)</t>
        </is>
      </c>
      <c r="L16" s="109" t="inlineStr">
        <is>
          <t>2026-05-22</t>
        </is>
      </c>
      <c r="M16" s="109" t="inlineStr">
        <is>
          <t>2026-05-22</t>
        </is>
      </c>
      <c r="N16" s="109" t="inlineStr">
        <is>
          <t>Nile Production Support</t>
        </is>
      </c>
      <c r="O16" s="109" t="inlineStr">
        <is>
          <t>Unassigned</t>
        </is>
      </c>
      <c r="P16" s="109" t="inlineStr">
        <is>
          <t>Raya, Birajan</t>
        </is>
      </c>
      <c r="Q16" s="109" t="inlineStr">
        <is>
          <t>Unresolved</t>
        </is>
      </c>
      <c r="R16" s="47" t="inlineStr"/>
      <c r="S16" s="109" t="inlineStr"/>
      <c r="T16" s="109" t="inlineStr"/>
      <c r="U16" s="109" t="inlineStr"/>
      <c r="V16" s="116" t="inlineStr">
        <is>
          <t>Schema issue</t>
        </is>
      </c>
      <c r="W16" s="109" t="inlineStr"/>
    </row>
    <row r="17">
      <c r="A17" s="107" t="inlineStr">
        <is>
          <t>IT-3073289</t>
        </is>
      </c>
      <c r="B17" s="107" t="inlineStr">
        <is>
          <t>IT-3073289</t>
        </is>
      </c>
      <c r="C17" s="107" t="inlineStr"/>
      <c r="D17" s="44" t="inlineStr">
        <is>
          <t>fwa-BCBSND-OSCAR_member_GDF2_3 Pipeline got failed due to unmatched raw data count Issue.</t>
        </is>
      </c>
      <c r="E17" s="44" t="inlineStr">
        <is>
          <t>Pipeline Name: fwa-BCBSND-OSCAR_member_GDF2_3 Above Pipeline got failed due to unmatched raw data count Issue. Mail Sub: Unmatched gdf_member_enrollment raw data count - 20260520_1 - prod - fwa-BCBSND-OSCAR_member_GDF2_3</t>
        </is>
      </c>
      <c r="F17" s="44" t="inlineStr"/>
      <c r="G17" s="44" t="inlineStr">
        <is>
          <t>Tasks completed</t>
        </is>
      </c>
      <c r="H17" s="107" t="inlineStr">
        <is>
          <t>Other</t>
        </is>
      </c>
      <c r="I17" s="107" t="inlineStr">
        <is>
          <t>Other</t>
        </is>
      </c>
      <c r="J17" s="107" t="inlineStr"/>
      <c r="K17" s="107" t="inlineStr">
        <is>
          <t>Closed</t>
        </is>
      </c>
      <c r="L17" s="107" t="inlineStr">
        <is>
          <t>2026-05-21</t>
        </is>
      </c>
      <c r="M17" s="107" t="inlineStr">
        <is>
          <t>2026-05-22</t>
        </is>
      </c>
      <c r="N17" s="107" t="inlineStr">
        <is>
          <t>Nile Production Support</t>
        </is>
      </c>
      <c r="O17" s="107" t="inlineStr">
        <is>
          <t>Unassigned</t>
        </is>
      </c>
      <c r="P17" s="107" t="inlineStr">
        <is>
          <t>Aryal, Neerajan</t>
        </is>
      </c>
      <c r="Q17" s="107" t="inlineStr">
        <is>
          <t>Resolved</t>
        </is>
      </c>
      <c r="R17" s="44" t="inlineStr"/>
      <c r="S17" s="107" t="inlineStr"/>
      <c r="T17" s="107" t="inlineStr"/>
      <c r="U17" s="107" t="inlineStr"/>
      <c r="V17" s="117" t="inlineStr">
        <is>
          <t>Unmatched raw data count</t>
        </is>
      </c>
      <c r="W17" s="107" t="inlineStr"/>
    </row>
    <row r="18">
      <c r="A18" s="109" t="inlineStr">
        <is>
          <t>IT-3073079</t>
        </is>
      </c>
      <c r="B18" s="109" t="inlineStr">
        <is>
          <t>IT-3073079</t>
        </is>
      </c>
      <c r="C18" s="109" t="inlineStr"/>
      <c r="D18" s="47" t="inlineStr">
        <is>
          <t>Caresource no touch weekly file load issue</t>
        </is>
      </c>
      <c r="E18" s="47" t="inlineStr">
        <is>
          <t>Caresource no touch weekly file load issue: error: Above pipeline is getting failed with error message Post procedure failed: SP: sp_DataSwap_NileStage_to_TargetError 2627, Severity 14, State 1, Line 1, MSG: Violation of PRIMARY KEY constraint 'PK_ CnlyClai _DE549EBE9D47991F'. Cannot insert duplicate key in object 'dbo.CnlyClaimsNoTouch'. The duplicate key value is (802508400800, Oct 7 2021 12:00AM, Provider Exclusion).</t>
        </is>
      </c>
      <c r="F18" s="47" t="inlineStr">
        <is>
          <t>it seems we are not receiving any file for no touch and there are only 3 old files in the db side. We have checked the configuration side and there are only old files in the hue. It uses header file to generate no touch claims. latest no touch and cdf data will be joining and generating no touch. So, when joing the data, dup records are present which is causing the issue.</t>
        </is>
      </c>
      <c r="G18" s="47" t="inlineStr"/>
      <c r="H18" s="109" t="inlineStr">
        <is>
          <t>Other</t>
        </is>
      </c>
      <c r="I18" s="109" t="inlineStr">
        <is>
          <t>Other</t>
        </is>
      </c>
      <c r="J18" s="109" t="inlineStr"/>
      <c r="K18" s="109" t="inlineStr">
        <is>
          <t>In Progress</t>
        </is>
      </c>
      <c r="L18" s="109" t="inlineStr">
        <is>
          <t>2026-05-21</t>
        </is>
      </c>
      <c r="M18" s="109" t="inlineStr">
        <is>
          <t>2026-05-21</t>
        </is>
      </c>
      <c r="N18" s="109" t="inlineStr">
        <is>
          <t>Nile Production Support</t>
        </is>
      </c>
      <c r="O18" s="109" t="inlineStr">
        <is>
          <t>Unassigned</t>
        </is>
      </c>
      <c r="P18" s="109" t="inlineStr">
        <is>
          <t>Kamsetty, Sravani</t>
        </is>
      </c>
      <c r="Q18" s="109" t="inlineStr">
        <is>
          <t>Unresolved</t>
        </is>
      </c>
      <c r="R18" s="47" t="inlineStr">
        <is>
          <t>it seems we are not receiving any file for no touch and there are only 3 old files in the db side. We have checked the configuration side and there are only old files in the hue. It uses header file to generate no touch claims. latest no touch and cdf data will be joining and generating no touch. So, when joing the data, dup records are present which is causing the issue.</t>
        </is>
      </c>
      <c r="S18" s="109" t="inlineStr"/>
      <c r="T18" s="109" t="inlineStr"/>
      <c r="U18" s="109" t="inlineStr"/>
      <c r="V18" s="118" t="inlineStr">
        <is>
          <t>Configuration Issue</t>
        </is>
      </c>
      <c r="W18" s="109" t="inlineStr"/>
    </row>
    <row r="19">
      <c r="A19" s="107" t="inlineStr">
        <is>
          <t>IT-3072799</t>
        </is>
      </c>
      <c r="B19" s="107" t="inlineStr">
        <is>
          <t>IT-3072799</t>
        </is>
      </c>
      <c r="C19" s="107" t="inlineStr"/>
      <c r="D19" s="44" t="inlineStr">
        <is>
          <t>MOLHC - Need to identify SNF/IRF data cor CCV</t>
        </is>
      </c>
      <c r="E19" s="44" t="inlineStr">
        <is>
          <t>I am working on CCV Molina (MOLHC) SNF and IRF expansion. We want to ensure that we are getting SNF/IRF claims in raw data before we reach out to the client. This is the logic to identify SNF and IRF claims: SNF PDPM Logic: Bill Type 021% HCPCS code starts with B, C, D, E, F, G, I, J, K, M, N or O * HCPCS code has a 2nd character as B, C,D, E,F,G,H, I, J, K,or L HCPCS code has a 3rd character as A, B, C, D, E, F, G, H, L, R, S, T, V or W HCPCS code has a 4th character as A, B, C or D SNF Per Diem logic looks for: Revenue Code: 0191,0192,0193 or 0194 (with or without leading zero) IRF PPS logic looks for: HCPCS code starts with A, B, C or D (CPT code in Claim Lines) HCPCS codes last four characters are numeric between 0101 and 5104 or 9999 IRF Per Diem logic looks for: Revenue Code is in 0024, 0118, 0128, 0138, 0148 or 0158 (with or without leading zero) (rev_code in claim lines) Based on these criteria, can Nile support team confirm if we are getting SNF/IRF data? if possible, can we get a raw data file for validation? I have a meeting with client Next week Tuesday, if I can get this information prior to that so I can prepare to talk to them.</t>
        </is>
      </c>
      <c r="F19" s="44" t="inlineStr">
        <is>
          <t>Shared raw file schema, query results and sample raw file</t>
        </is>
      </c>
      <c r="G19" s="44" t="inlineStr"/>
      <c r="H19" s="107" t="inlineStr">
        <is>
          <t>Other</t>
        </is>
      </c>
      <c r="I19" s="107" t="inlineStr">
        <is>
          <t>Other</t>
        </is>
      </c>
      <c r="J19" s="107" t="inlineStr"/>
      <c r="K19" s="107" t="inlineStr">
        <is>
          <t>In Progress (HD1)</t>
        </is>
      </c>
      <c r="L19" s="107" t="inlineStr">
        <is>
          <t>2026-05-21</t>
        </is>
      </c>
      <c r="M19" s="107" t="inlineStr">
        <is>
          <t>2026-05-21</t>
        </is>
      </c>
      <c r="N19" s="107" t="inlineStr">
        <is>
          <t>Nile Production Support</t>
        </is>
      </c>
      <c r="O19" s="107" t="inlineStr">
        <is>
          <t>Unassigned</t>
        </is>
      </c>
      <c r="P19" s="107" t="inlineStr">
        <is>
          <t>Rajasekaran, Babita</t>
        </is>
      </c>
      <c r="Q19" s="107" t="inlineStr">
        <is>
          <t>Unresolved</t>
        </is>
      </c>
      <c r="R19" s="44" t="inlineStr">
        <is>
          <t>Shared raw file schema, query results and sample raw file</t>
        </is>
      </c>
      <c r="S19" s="107" t="inlineStr"/>
      <c r="T19" s="107" t="inlineStr"/>
      <c r="U19" s="107" t="inlineStr"/>
      <c r="V19" s="113" t="inlineStr">
        <is>
          <t>Other</t>
        </is>
      </c>
      <c r="W19" s="107" t="inlineStr">
        <is>
          <t>Yes</t>
        </is>
      </c>
    </row>
    <row r="20">
      <c r="A20" s="109" t="inlineStr">
        <is>
          <t>IT-3072670</t>
        </is>
      </c>
      <c r="B20" s="109" t="inlineStr">
        <is>
          <t>IT-3072670</t>
        </is>
      </c>
      <c r="C20" s="109" t="inlineStr"/>
      <c r="D20" s="47" t="inlineStr">
        <is>
          <t>HCSC_BackFill_Set_5_files process.</t>
        </is>
      </c>
      <c r="E20" s="47" t="inlineStr"/>
      <c r="F20" s="47" t="inlineStr"/>
      <c r="G20" s="47" t="inlineStr"/>
      <c r="H20" s="109" t="inlineStr">
        <is>
          <t>Other</t>
        </is>
      </c>
      <c r="I20" s="109" t="inlineStr">
        <is>
          <t>Other</t>
        </is>
      </c>
      <c r="J20" s="109" t="inlineStr"/>
      <c r="K20" s="109" t="inlineStr">
        <is>
          <t>In Progress</t>
        </is>
      </c>
      <c r="L20" s="109" t="inlineStr">
        <is>
          <t>2026-05-21</t>
        </is>
      </c>
      <c r="M20" s="109" t="inlineStr">
        <is>
          <t>2026-05-21</t>
        </is>
      </c>
      <c r="N20" s="109" t="inlineStr">
        <is>
          <t>Nile Production Support</t>
        </is>
      </c>
      <c r="O20" s="109" t="inlineStr">
        <is>
          <t>Unassigned</t>
        </is>
      </c>
      <c r="P20" s="109" t="inlineStr">
        <is>
          <t>Kantimahanti, Ravisankar</t>
        </is>
      </c>
      <c r="Q20" s="109" t="inlineStr">
        <is>
          <t>Unresolved</t>
        </is>
      </c>
      <c r="R20" s="47" t="inlineStr"/>
      <c r="S20" s="109" t="inlineStr"/>
      <c r="T20" s="109" t="inlineStr"/>
      <c r="U20" s="109" t="inlineStr"/>
      <c r="V20" s="110" t="inlineStr">
        <is>
          <t>Other</t>
        </is>
      </c>
      <c r="W20" s="109" t="inlineStr">
        <is>
          <t>Yes</t>
        </is>
      </c>
    </row>
    <row r="21">
      <c r="A21" s="107" t="inlineStr">
        <is>
          <t>IT-3071800</t>
        </is>
      </c>
      <c r="B21" s="107" t="inlineStr">
        <is>
          <t>IT-3071800</t>
        </is>
      </c>
      <c r="C21" s="107" t="inlineStr"/>
      <c r="D21" s="44" t="inlineStr">
        <is>
          <t>Copy files From Nile Prod Raw path to Nile QC Raw path - UHC-CSP</t>
        </is>
      </c>
      <c r="E21" s="44" t="inlineStr">
        <is>
          <t>Hi Team, Could you please copy all the data for the date given below from the Nile PROD raw path to the Nile QC raw path? 20260503 20260510 Nile PROD RAW PATH (Source): /dataingestionprod/raw/restricted/19-uhc-csp Nile QC RAW PATH (Target): /dataingestionqc/raw/restricted/19-uhc-csp Once copied to QC, the owner should be set to "svcpnilediqcraw" and group should be set to "qcunrestricted" and permissions should be 750.</t>
        </is>
      </c>
      <c r="F21" s="44" t="inlineStr">
        <is>
          <t>Hi Pati, Jagadeesh Chandra Files copied Thanks Satish Devatha</t>
        </is>
      </c>
      <c r="G21" s="44" t="inlineStr">
        <is>
          <t>Files copied</t>
        </is>
      </c>
      <c r="H21" s="107" t="inlineStr">
        <is>
          <t>Other</t>
        </is>
      </c>
      <c r="I21" s="107" t="inlineStr">
        <is>
          <t>Other</t>
        </is>
      </c>
      <c r="J21" s="107" t="inlineStr"/>
      <c r="K21" s="107" t="inlineStr">
        <is>
          <t>Closed</t>
        </is>
      </c>
      <c r="L21" s="107" t="inlineStr">
        <is>
          <t>2026-05-20</t>
        </is>
      </c>
      <c r="M21" s="107" t="inlineStr">
        <is>
          <t>2026-05-20</t>
        </is>
      </c>
      <c r="N21" s="107" t="inlineStr">
        <is>
          <t>Nile Production Support</t>
        </is>
      </c>
      <c r="O21" s="107" t="inlineStr">
        <is>
          <t>Unassigned</t>
        </is>
      </c>
      <c r="P21" s="107" t="inlineStr">
        <is>
          <t>Pati, Jagadeesh Chandra</t>
        </is>
      </c>
      <c r="Q21" s="107" t="inlineStr">
        <is>
          <t>Resolved</t>
        </is>
      </c>
      <c r="R21" s="44" t="inlineStr">
        <is>
          <t>Hi Pati, Jagadeesh Chandra Files copied Thanks Satish Devatha</t>
        </is>
      </c>
      <c r="S21" s="107" t="inlineStr"/>
      <c r="T21" s="107" t="inlineStr"/>
      <c r="U21" s="107" t="inlineStr"/>
      <c r="V21" s="113" t="inlineStr">
        <is>
          <t>Other</t>
        </is>
      </c>
      <c r="W21" s="107" t="inlineStr">
        <is>
          <t>Yes</t>
        </is>
      </c>
    </row>
    <row r="22">
      <c r="A22" s="109" t="inlineStr">
        <is>
          <t>IT-3071667</t>
        </is>
      </c>
      <c r="B22" s="109" t="inlineStr">
        <is>
          <t>IT-3071667</t>
        </is>
      </c>
      <c r="C22" s="109" t="inlineStr"/>
      <c r="D22" s="47" t="inlineStr">
        <is>
          <t>CEPCA Files missing for 19th and 20th May 2026</t>
        </is>
      </c>
      <c r="E22" s="47" t="inlineStr">
        <is>
          <t>Hi Nile Team, We are missing below CEPCA file for 05/19/2026 and 05/20/2026. Please check and let us know when we can expect the missing file. cepca_inpatient_incoming_1p</t>
        </is>
      </c>
      <c r="F22" s="47" t="inlineStr">
        <is>
          <t>Reached out to IS production to confirm if we should expect this file as none have been received as of now</t>
        </is>
      </c>
      <c r="G22" s="47" t="inlineStr"/>
      <c r="H22" s="109" t="inlineStr"/>
      <c r="I22" s="109" t="inlineStr"/>
      <c r="J22" s="109" t="inlineStr"/>
      <c r="K22" s="109" t="inlineStr">
        <is>
          <t>Active</t>
        </is>
      </c>
      <c r="L22" s="109" t="inlineStr">
        <is>
          <t>2026-05-20</t>
        </is>
      </c>
      <c r="M22" s="109" t="inlineStr">
        <is>
          <t>2026-05-20</t>
        </is>
      </c>
      <c r="N22" s="109" t="inlineStr">
        <is>
          <t>Nile Production Support</t>
        </is>
      </c>
      <c r="O22" s="109" t="inlineStr">
        <is>
          <t>Unassigned</t>
        </is>
      </c>
      <c r="P22" s="109" t="inlineStr">
        <is>
          <t>Shinde, Vijaykumar</t>
        </is>
      </c>
      <c r="Q22" s="109" t="inlineStr">
        <is>
          <t>Unresolved</t>
        </is>
      </c>
      <c r="R22" s="47" t="inlineStr">
        <is>
          <t>Reached out to IS production to confirm if we should expect this file as none have been received as of now</t>
        </is>
      </c>
      <c r="S22" s="109" t="inlineStr"/>
      <c r="T22" s="109" t="inlineStr"/>
      <c r="U22" s="109" t="inlineStr"/>
      <c r="V22" s="119" t="inlineStr">
        <is>
          <t>File Missing</t>
        </is>
      </c>
      <c r="W22" s="109" t="inlineStr"/>
    </row>
    <row r="23">
      <c r="A23" s="107" t="inlineStr">
        <is>
          <t>IT-3071197</t>
        </is>
      </c>
      <c r="B23" s="107" t="inlineStr">
        <is>
          <t>IT-3071197</t>
        </is>
      </c>
      <c r="C23" s="107" t="inlineStr"/>
      <c r="D23" s="44" t="inlineStr">
        <is>
          <t>Security Health Batch Processing TAT Report (April 2026)</t>
        </is>
      </c>
      <c r="E23" s="44" t="inlineStr">
        <is>
          <t>Hi Nile Team, Please find attached the Security Health Batch Processing TAT report for April 2026. We have missed the SLA for maximum response time TAT—specifically, two files had an initial response time greater than 12 hours, with one reaching approximately 39 hours. Could you please review the file processing TAT and share your feedback or any insights you may have? Thank you for your assistance. Thanks, Muthu</t>
        </is>
      </c>
      <c r="F23" s="44" t="inlineStr">
        <is>
          <t>SHPWI Monthly Initial Response Turnaround Time Report - Apr-2026.xlsx (68 kB)</t>
        </is>
      </c>
      <c r="G23" s="44" t="inlineStr"/>
      <c r="H23" s="107" t="inlineStr">
        <is>
          <t>Other</t>
        </is>
      </c>
      <c r="I23" s="107" t="inlineStr">
        <is>
          <t>Other</t>
        </is>
      </c>
      <c r="J23" s="107" t="inlineStr"/>
      <c r="K23" s="107" t="inlineStr">
        <is>
          <t>In Progress (HD1)</t>
        </is>
      </c>
      <c r="L23" s="107" t="inlineStr">
        <is>
          <t>2026-05-20</t>
        </is>
      </c>
      <c r="M23" s="107" t="inlineStr">
        <is>
          <t>2026-05-20</t>
        </is>
      </c>
      <c r="N23" s="107" t="inlineStr">
        <is>
          <t>Nile Production Support</t>
        </is>
      </c>
      <c r="O23" s="107" t="inlineStr">
        <is>
          <t>Unassigned</t>
        </is>
      </c>
      <c r="P23" s="107" t="inlineStr">
        <is>
          <t>Ramakrishnan, Muthu</t>
        </is>
      </c>
      <c r="Q23" s="107" t="inlineStr">
        <is>
          <t>Unresolved</t>
        </is>
      </c>
      <c r="R23" s="44" t="inlineStr">
        <is>
          <t>SHPWI Monthly Initial Response Turnaround Time Report - Apr-2026.xlsx (68 kB)</t>
        </is>
      </c>
      <c r="S23" s="107" t="inlineStr"/>
      <c r="T23" s="107" t="inlineStr"/>
      <c r="U23" s="107" t="inlineStr"/>
      <c r="V23" s="113" t="inlineStr">
        <is>
          <t>Other</t>
        </is>
      </c>
      <c r="W23" s="107" t="inlineStr">
        <is>
          <t>Yes</t>
        </is>
      </c>
    </row>
    <row r="24">
      <c r="A24" s="109" t="inlineStr">
        <is>
          <t>IT-3071195</t>
        </is>
      </c>
      <c r="B24" s="109" t="inlineStr">
        <is>
          <t>IT-3071195</t>
        </is>
      </c>
      <c r="C24" s="109" t="inlineStr"/>
      <c r="D24" s="47" t="inlineStr">
        <is>
          <t>CSI_CFI files load request</t>
        </is>
      </c>
      <c r="E24" s="47" t="inlineStr">
        <is>
          <t>Hello, Please spool and load the files shown in the attached screenshot to [HumanaAuditors] . [dbo] . [CSI_CFI] in DC-Austin server. Thank you</t>
        </is>
      </c>
      <c r="F24" s="47" t="inlineStr">
        <is>
          <t>There was an issue while loading the data to table. Worked with dba team and resolved the issue. FYI: https://jiraet.cotiviti.com/plugins/servlet/desk/portal/7/IT-3076350 All the files has been loaded to target table. Waiting for user confirmation to close the ticket. Thanks.</t>
        </is>
      </c>
      <c r="G24" s="47" t="inlineStr"/>
      <c r="H24" s="109" t="inlineStr">
        <is>
          <t>Other</t>
        </is>
      </c>
      <c r="I24" s="109" t="inlineStr">
        <is>
          <t>Other</t>
        </is>
      </c>
      <c r="J24" s="109" t="inlineStr"/>
      <c r="K24" s="109" t="inlineStr">
        <is>
          <t>In Progress (HD1)</t>
        </is>
      </c>
      <c r="L24" s="109" t="inlineStr">
        <is>
          <t>2026-05-20</t>
        </is>
      </c>
      <c r="M24" s="109" t="inlineStr">
        <is>
          <t>2026-05-25</t>
        </is>
      </c>
      <c r="N24" s="109" t="inlineStr">
        <is>
          <t>Nile Production Support</t>
        </is>
      </c>
      <c r="O24" s="109" t="inlineStr">
        <is>
          <t>Unassigned</t>
        </is>
      </c>
      <c r="P24" s="109" t="inlineStr">
        <is>
          <t>Shrestha, Sajjan</t>
        </is>
      </c>
      <c r="Q24" s="109" t="inlineStr">
        <is>
          <t>Unresolved</t>
        </is>
      </c>
      <c r="R24" s="47" t="inlineStr">
        <is>
          <t>There was an issue while loading the data to table. Worked with dba team and resolved the issue. FYI: https://jiraet.cotiviti.com/plugins/servlet/desk/portal/7/IT-3076350 All the files has been loaded to target table. Waiting for user confirmation to close the ticket. Thanks.</t>
        </is>
      </c>
      <c r="S24" s="109" t="inlineStr"/>
      <c r="T24" s="109" t="inlineStr"/>
      <c r="U24" s="109" t="inlineStr"/>
      <c r="V24" s="120" t="inlineStr">
        <is>
          <t>Spooler issue</t>
        </is>
      </c>
      <c r="W24" s="109" t="inlineStr"/>
    </row>
    <row r="25">
      <c r="A25" s="107" t="inlineStr">
        <is>
          <t>IT-3070808</t>
        </is>
      </c>
      <c r="B25" s="107" t="inlineStr">
        <is>
          <t>IT-3070808</t>
        </is>
      </c>
      <c r="C25" s="107" t="inlineStr"/>
      <c r="D25" s="44" t="inlineStr">
        <is>
          <t>CEPMR file failure excessive claim lines 66%</t>
        </is>
      </c>
      <c r="E25" s="44" t="inlineStr">
        <is>
          <t>cepmr_inpatient_incoming_4p (3) Total Lines Processed for Run : 3 File Processing Information: ---------------------------------------------------------------------------------------------------- File : cepmr_inpatient_incoming_4p.05-20-2026_0755 QA Status : FAILED Reason : FAILED - Excessive failed lines (~66%) The QA Log: QA Test Name: excessive_fails Pre/Post Run: 1 Result: FAILED - Excessive failed lines (~66%) The Run Results Log: PayerShort: CEPMR ClaimId: Z128MC506295 Error: LETTER_PLAN_CODE is blank PayerShort: CEPMR ClaimId: Z128MC506219 Error: LETTER_PLAN_CODE is blank CEPMR|T|1955|20260520|3|P TRAILER|3|20260520|075221 Wed May 20 07:55:07 EDT 2026 RECOMMENDATION COUNT (Claim) BLANK 1 FAILS 2 Total Hits 0 PayerShort: CEPMR LETTER_PLAN_CODE is blank occurs 2 times Total Time: 00:02</t>
        </is>
      </c>
      <c r="F25" s="44" t="inlineStr">
        <is>
          <t>We have requested for the replacement files. Email ref: CEPMR Inpatient File Failure - 05/16/2025 Waiting response from the client</t>
        </is>
      </c>
      <c r="G25" s="44" t="inlineStr"/>
      <c r="H25" s="107" t="inlineStr"/>
      <c r="I25" s="107" t="inlineStr"/>
      <c r="J25" s="107" t="inlineStr"/>
      <c r="K25" s="107" t="inlineStr">
        <is>
          <t>Awaiting User Info</t>
        </is>
      </c>
      <c r="L25" s="107" t="inlineStr">
        <is>
          <t>2026-05-20</t>
        </is>
      </c>
      <c r="M25" s="107" t="inlineStr">
        <is>
          <t>2026-05-20</t>
        </is>
      </c>
      <c r="N25" s="107" t="inlineStr">
        <is>
          <t>Nile Production Support</t>
        </is>
      </c>
      <c r="O25" s="107" t="inlineStr">
        <is>
          <t>Unassigned</t>
        </is>
      </c>
      <c r="P25" s="107" t="inlineStr">
        <is>
          <t>Bohannon, Stevin</t>
        </is>
      </c>
      <c r="Q25" s="107" t="inlineStr">
        <is>
          <t>Unresolved</t>
        </is>
      </c>
      <c r="R25" s="44" t="inlineStr">
        <is>
          <t>We have requested for the replacement files. Email ref: CEPMR Inpatient File Failure - 05/16/2025 Waiting response from the client</t>
        </is>
      </c>
      <c r="S25" s="107" t="inlineStr"/>
      <c r="T25" s="107" t="inlineStr"/>
      <c r="U25" s="107" t="inlineStr"/>
      <c r="V25" s="121" t="inlineStr">
        <is>
          <t>File Issue</t>
        </is>
      </c>
      <c r="W25" s="107" t="inlineStr"/>
    </row>
    <row r="26">
      <c r="A26" s="109" t="inlineStr">
        <is>
          <t>IT-3068911</t>
        </is>
      </c>
      <c r="B26" s="109" t="inlineStr">
        <is>
          <t>IT-3068911</t>
        </is>
      </c>
      <c r="C26" s="109" t="inlineStr"/>
      <c r="D26" s="47" t="inlineStr">
        <is>
          <t>Kaiser - Claims header CDF builder failure - schema mismatch</t>
        </is>
      </c>
      <c r="E26" s="47" t="inlineStr">
        <is>
          <t>Kaiser CDF builder failed due to a discrepancy in the schema. In Kaiserdataarkstaging.dbo.claimsheader table [ClaimFormInd] field has length 1. In KaiserDataClaimHeader.dbo.CnlyClaimsHeader table [ClaimFormInd] field has length 2. But in raw data from Nile, we’re receiving 4 characters for data in this field, which is causing this to fail. As per Nightwatchers, Nile team needs to look at claim_form_type_code field as this maps to [ClaimFormInd] .</t>
        </is>
      </c>
      <c r="F26" s="47" t="inlineStr">
        <is>
          <t>Hi Shrestha, Sajjan , Kaiser ARK is still with onboarding team It's not transitioned to Production team yet. we will let inform onboarding team to take care of this. Thanks.</t>
        </is>
      </c>
      <c r="G26" s="47" t="inlineStr">
        <is>
          <t>Kaiser ARK is still with onboarding team It's not transitioned to Production team yet. we will let inform onboarding team to take care of this.</t>
        </is>
      </c>
      <c r="H26" s="109" t="inlineStr">
        <is>
          <t>Other</t>
        </is>
      </c>
      <c r="I26" s="109" t="inlineStr">
        <is>
          <t>Other</t>
        </is>
      </c>
      <c r="J26" s="109" t="inlineStr"/>
      <c r="K26" s="109" t="inlineStr">
        <is>
          <t>Closed</t>
        </is>
      </c>
      <c r="L26" s="109" t="inlineStr">
        <is>
          <t>2026-05-19</t>
        </is>
      </c>
      <c r="M26" s="109" t="inlineStr">
        <is>
          <t>2026-05-21</t>
        </is>
      </c>
      <c r="N26" s="109" t="inlineStr">
        <is>
          <t>Nile Production Support</t>
        </is>
      </c>
      <c r="O26" s="109" t="inlineStr">
        <is>
          <t>Unassigned</t>
        </is>
      </c>
      <c r="P26" s="109" t="inlineStr">
        <is>
          <t>Shrestha, Sajjan</t>
        </is>
      </c>
      <c r="Q26" s="109" t="inlineStr">
        <is>
          <t>Resolved</t>
        </is>
      </c>
      <c r="R26" s="47" t="inlineStr">
        <is>
          <t>Hi Shrestha, Sajjan , Kaiser ARK is still with onboarding team It's not transitioned to Production team yet. we will let inform onboarding team to take care of this. Thanks.</t>
        </is>
      </c>
      <c r="S26" s="109" t="inlineStr"/>
      <c r="T26" s="109" t="inlineStr"/>
      <c r="U26" s="109" t="inlineStr"/>
      <c r="V26" s="116" t="inlineStr">
        <is>
          <t>Schema issue</t>
        </is>
      </c>
      <c r="W26" s="109" t="inlineStr"/>
    </row>
    <row r="27">
      <c r="A27" s="107" t="inlineStr">
        <is>
          <t>IT-3068756</t>
        </is>
      </c>
      <c r="B27" s="107" t="inlineStr">
        <is>
          <t>IT-3068756</t>
        </is>
      </c>
      <c r="C27" s="107" t="inlineStr"/>
      <c r="D27" s="44" t="inlineStr">
        <is>
          <t>CEPNE :: CEPNE Inpatient 12p :: 5/19/2026</t>
        </is>
      </c>
      <c r="E27" s="44" t="inlineStr">
        <is>
          <t>Hi Nile team we have one CEPNE failure. Can you please inform the client and have them send a replacement file? cepne_inpatient_incoming_12p Files Processed - File Name (No. Lines in File): ---------------------------------------------------------------------------------------------------- cepne_inpatient_incoming_12p (1) Total Lines Processed for Run : 1 File Processing Information: ---------------------------------------------------------------------------------------------------- File : cepne_inpatient_incoming_12p.05-19-2026_1400 QA Status : FAILED Reason : FAILED - Excessive failed lines (~100%) The QA Log: QA Test Name: dos2unix_check Pre/Post Run: 0 Result: PASSED QA Test Name: zero_length Pre/Post Run: 0 Result: PASSED QA Test Name: is_headtrail_hdr Pre/Post Run: 0 Result: PASSED QA Test Name: is_headtrail_tlr Pre/Post Run: 0 Result: PASSED QA Test Name: is_headtrail_multi Pre/Post Run: 0 Result: PASSED QA Test Name: header_payer Pre/Post Run: 0 Result: PASSED QA Test Name: nametype_match Pre/Post Run: 0 Result: PASSED QA Test Name: linetrail_match Pre/Post Run: 0 Result: PASSED QA Test Name: already_run Pre/Post Run: 0 Result: PASSED QA Test Name: java_check Pre/Post Run: 0 Result: PASSED QA Test Name: excessive_fails Pre/Post Run: 1 Result: FAILED - Excessive failed lines (~100%) The Run Results Log: PayerShort: CEPNE MemberId: U2029548801 DependentId: TaxId: 470376552 ProviderId: P100052039380003 ClaimId: Z105NEE05035 Error: DISCHARGE_DATE is blank CEPNE|T|1185|20260519|1|P TRAILER|1|20260519|015303</t>
        </is>
      </c>
      <c r="F27" s="44" t="inlineStr">
        <is>
          <t>The client is notified about the failure. Email ref: Re: CEPNE :: CEPNE Inpatient 12p :: 5/19/2026 waiting for client to send the replacement file</t>
        </is>
      </c>
      <c r="G27" s="44" t="inlineStr"/>
      <c r="H27" s="107" t="inlineStr">
        <is>
          <t>Other</t>
        </is>
      </c>
      <c r="I27" s="107" t="inlineStr">
        <is>
          <t>Other</t>
        </is>
      </c>
      <c r="J27" s="107" t="inlineStr"/>
      <c r="K27" s="107" t="inlineStr">
        <is>
          <t>On Hold</t>
        </is>
      </c>
      <c r="L27" s="107" t="inlineStr">
        <is>
          <t>2026-05-19</t>
        </is>
      </c>
      <c r="M27" s="107" t="inlineStr">
        <is>
          <t>2026-05-20</t>
        </is>
      </c>
      <c r="N27" s="107" t="inlineStr">
        <is>
          <t>Nile Production Support</t>
        </is>
      </c>
      <c r="O27" s="107" t="inlineStr">
        <is>
          <t>Unassigned</t>
        </is>
      </c>
      <c r="P27" s="107" t="inlineStr">
        <is>
          <t>Daniels, Ben</t>
        </is>
      </c>
      <c r="Q27" s="107" t="inlineStr">
        <is>
          <t>Unresolved</t>
        </is>
      </c>
      <c r="R27" s="44" t="inlineStr">
        <is>
          <t>The client is notified about the failure. Email ref: Re: CEPNE :: CEPNE Inpatient 12p :: 5/19/2026 waiting for client to send the replacement file</t>
        </is>
      </c>
      <c r="S27" s="107" t="inlineStr"/>
      <c r="T27" s="107" t="inlineStr"/>
      <c r="U27" s="107" t="inlineStr"/>
      <c r="V27" s="113" t="inlineStr">
        <is>
          <t>Other</t>
        </is>
      </c>
      <c r="W27" s="107" t="inlineStr">
        <is>
          <t>Yes</t>
        </is>
      </c>
    </row>
    <row r="28">
      <c r="A28" s="109" t="inlineStr">
        <is>
          <t>IT-3067631</t>
        </is>
      </c>
      <c r="B28" s="109" t="inlineStr">
        <is>
          <t>IT-3067631</t>
        </is>
      </c>
      <c r="C28" s="109" t="inlineStr"/>
      <c r="D28" s="47" t="inlineStr">
        <is>
          <t>CareSource - RCCV CDF Mapping for New CCA Plan</t>
        </is>
      </c>
      <c r="E28" s="47" t="inlineStr">
        <is>
          <t>We are expanding CareSource and adding CCA plan. We have a new Letter Plan Code mapping that needs to be incorporated into the CDF logic. If the payer short is CSDMA and the INSURANCE_LOB is MA_DUAL, update the LETTER_PLAN_CODE field to CSDMA01. This is also shown on the Crosswalk tab in the "CARHP - TBA_v2.3.1_to_GDF_v2.13_mapping_v4.xlsx" document attached.</t>
        </is>
      </c>
      <c r="F28" s="47" t="inlineStr">
        <is>
          <t>CARHP - TBA_v2.3.1_to_GDF_v2.13_Mapping_v4.xlsx (798 kB)</t>
        </is>
      </c>
      <c r="G28" s="47" t="inlineStr"/>
      <c r="H28" s="109" t="inlineStr">
        <is>
          <t>Other</t>
        </is>
      </c>
      <c r="I28" s="109" t="inlineStr">
        <is>
          <t>Other</t>
        </is>
      </c>
      <c r="J28" s="109" t="inlineStr"/>
      <c r="K28" s="109" t="inlineStr">
        <is>
          <t>In Progress (HD1)</t>
        </is>
      </c>
      <c r="L28" s="109" t="inlineStr">
        <is>
          <t>2026-05-19</t>
        </is>
      </c>
      <c r="M28" s="109" t="inlineStr">
        <is>
          <t>2026-05-19</t>
        </is>
      </c>
      <c r="N28" s="109" t="inlineStr">
        <is>
          <t>Nile Production Support</t>
        </is>
      </c>
      <c r="O28" s="109" t="inlineStr">
        <is>
          <t>Unassigned</t>
        </is>
      </c>
      <c r="P28" s="109" t="inlineStr">
        <is>
          <t>Goida, Paul</t>
        </is>
      </c>
      <c r="Q28" s="109" t="inlineStr">
        <is>
          <t>Unresolved</t>
        </is>
      </c>
      <c r="R28" s="47" t="inlineStr">
        <is>
          <t>CARHP - TBA_v2.3.1_to_GDF_v2.13_Mapping_v4.xlsx (798 kB)</t>
        </is>
      </c>
      <c r="S28" s="109" t="inlineStr"/>
      <c r="T28" s="109" t="inlineStr"/>
      <c r="U28" s="109" t="inlineStr"/>
      <c r="V28" s="118" t="inlineStr">
        <is>
          <t>Configuration Issue</t>
        </is>
      </c>
      <c r="W28" s="109" t="inlineStr"/>
    </row>
    <row r="29">
      <c r="A29" s="107" t="inlineStr">
        <is>
          <t>IT-3066904</t>
        </is>
      </c>
      <c r="B29" s="107" t="inlineStr">
        <is>
          <t>IT-3066904</t>
        </is>
      </c>
      <c r="C29" s="107" t="inlineStr"/>
      <c r="D29" s="44" t="inlineStr">
        <is>
          <t>Please provide HUE location of BCBSND GDF Data Files</t>
        </is>
      </c>
      <c r="E29" s="44" t="inlineStr">
        <is>
          <t>Please provide HUE location of BCBSND GDF Data Files used to load FWAM historical data (Jan 2023 - Sep 2025 Load Dates): Member: fwa_bcsnd_member_incoming_yyccmmdd_1.txt fwa_bcsnd_memberaddress_incoming_yyccmmdd_1.txt fwa_bcsnd_memberenrollment_incoming_yyccmmdd_1.txt Provider: fwa_bcsnd_providernetwork_incoming_yyccmmdd_1.txt fwa_bcsnd_provideraddress_incoming_yyccmmdd_1.txt fwa_bcsnd_provider_incoming_yyccmmdd_1.txt Professional/Institutional fwa_bcsnd_backsweep_postcheck_medical_claims_incoming_yyccmmdd_1.txt Pharmacy: fwa_bcsnd_backsweep_pharmacy_claims_incoming_yyccmmdd_1.txt Please provide HUE location of BCBSND GDF Data Files used to load monthly FWAM data, post historical loads (starting with Oct 2025 Load Dates and forward): Member: bcsnd_memberenrollment_incoming_yyccmmdd_1.txt bcsnd_member_incoming_yyccmmdd_1.txt bcsnd_memberaddress_incoming_yyccmmdd_1.txt Provider: bcsnd_providernetwork_incoming_yyccmmdd_1.txt bcsnd_provideraddress_incoming_yyccmmdd_1.txt bcsnd_provider_incoming_yyccmmdd_1.txt Professional/Institutional bcsnd_postcheck_medical_claims_incoming_yyccmmdd_1.txt Pharmacy: bcsnd_postcheck_pharmacy_claims_incoming_yyccmmdd_1.txt Please let me know if you have any questions. Thank you.</t>
        </is>
      </c>
      <c r="F29" s="44" t="inlineStr">
        <is>
          <t>Hi Herman, Donna please find the sample paths for reference FWA MEMBER : /dataingestionprod/restricted/179-BCBS_ND-OSCAR/Processed/GDF/member/enrollment/20260513_1 /dataingestionprod/restricted/179-BCBS_ND-OSCAR/Processed/GDF/member/member/20260513_1 /dataingestionprod/restricted/179-BCBS_ND-OSCAR/Processed/GDF/member/address/20260513_1 FWA PROVIDER : /dataingestionprod/restricted/179-BCBS_ND-OSCAR/Processed/GDF/provider/provider/20260513_1 /dataingestionprod/restricted/179-BCBS_ND-OSCAR/Processed/GDF/provider/network/20260513_1 /dataingestionprod/restricted/179-BCBS_ND-OSCAR/Processed/GDF/provider/address/20260513_1 FWA PHARMACY : /dataingestionprod/restricted/179-BCBS_ND-OSCAR/Processed/GDF/claims/pharmacy/postcheck/20260513_1 FWA professional : /dataingestionprod/restricted/179-BCBS_ND-OSCAR/Processed/GDF/claims/professional/history/20260513_1 FWA institutional : /dataingestionprod/restricted/179-BCBS_ND-OSCAR/Processed/GDF/claims/institutional/history/20260513_1 I will confirm path for files on 05/22/26. Thank you.</t>
        </is>
      </c>
      <c r="G29" s="44" t="inlineStr"/>
      <c r="H29" s="107" t="inlineStr">
        <is>
          <t>Other</t>
        </is>
      </c>
      <c r="I29" s="107" t="inlineStr">
        <is>
          <t>Other</t>
        </is>
      </c>
      <c r="J29" s="107" t="inlineStr"/>
      <c r="K29" s="107" t="inlineStr">
        <is>
          <t>In Progress (HD1)</t>
        </is>
      </c>
      <c r="L29" s="107" t="inlineStr">
        <is>
          <t>2026-05-19</t>
        </is>
      </c>
      <c r="M29" s="107" t="inlineStr">
        <is>
          <t>2026-05-21</t>
        </is>
      </c>
      <c r="N29" s="107" t="inlineStr">
        <is>
          <t>Nile Production Support</t>
        </is>
      </c>
      <c r="O29" s="107" t="inlineStr">
        <is>
          <t>Unassigned</t>
        </is>
      </c>
      <c r="P29" s="107" t="inlineStr">
        <is>
          <t>Herman, Donna</t>
        </is>
      </c>
      <c r="Q29" s="107" t="inlineStr">
        <is>
          <t>Unresolved</t>
        </is>
      </c>
      <c r="R29" s="44" t="inlineStr">
        <is>
          <t>Hi Herman, Donna please find the sample paths for reference FWA MEMBER : /dataingestionprod/restricted/179-BCBS_ND-OSCAR/Processed/GDF/member/enrollment/20260513_1 /dataingestionprod/restricted/179-BCBS_ND-OSCAR/Processed/GDF/member/member/20260513_1 /dataingestionprod/restricted/179-BCBS_ND-OSCAR/Processed/GDF/member/address/20260513_1 FWA PROVIDER : /dataingestionprod/restricted/179-BCBS_ND-OSCAR/Processed/GDF/provider/provider/20260513_1 /dataingestionprod/restricted/179-BCBS_ND-OSCAR/Processed/GDF/provider/network/20260513_1 /dataingestionprod/restricted/179-BCBS_ND-OSCAR/Processed/GDF/provider/address/20260513_1 FWA PHARMACY : /dataingestionprod/restricted/179-BCBS_ND-OSCAR/Processed/GDF/claims/pharmacy/postcheck/20260513_1 FWA professional : /dataingestionprod/restricted/179-BCBS_ND-OSCAR/Processed/GDF/claims/professional/history/20260513_1 FWA institutional : /dataingestionprod/restricted/179-BCBS_ND-OSCAR/Processed/GDF/claims/institutional/history/20260513_1 I will confirm path for files on 05/22/26. Thank you.</t>
        </is>
      </c>
      <c r="S29" s="107" t="inlineStr"/>
      <c r="T29" s="107" t="inlineStr"/>
      <c r="U29" s="107" t="inlineStr"/>
      <c r="V29" s="113" t="inlineStr">
        <is>
          <t>Other</t>
        </is>
      </c>
      <c r="W29" s="107" t="inlineStr">
        <is>
          <t>Yes</t>
        </is>
      </c>
    </row>
    <row r="30">
      <c r="A30" s="109" t="inlineStr">
        <is>
          <t>IT-3066626</t>
        </is>
      </c>
      <c r="B30" s="109" t="inlineStr">
        <is>
          <t>IT-3066626</t>
        </is>
      </c>
      <c r="C30" s="109" t="inlineStr"/>
      <c r="D30" s="47" t="inlineStr">
        <is>
          <t>Please copy the data of Health First from source paths to Nile paths</t>
        </is>
      </c>
      <c r="E30" s="47" t="inlineStr">
        <is>
          <t>can you please copy the above 2 files from the below path \\gad1pcah500nas01.data.nas.cotiviti.com\2026\testing\archive\hfhrp\raw_data\history to \\norchcnasprd01.data.nas.norwalk01.ct.ccaintranet.net\NileClientData\Restricted\healthfirst_hrp</t>
        </is>
      </c>
      <c r="F30" s="47" t="inlineStr">
        <is>
          <t>It has to be raised to windows engineering I raised to PS team so cancelling the request</t>
        </is>
      </c>
      <c r="G30" s="47" t="inlineStr"/>
      <c r="H30" s="109" t="inlineStr">
        <is>
          <t>Other</t>
        </is>
      </c>
      <c r="I30" s="109" t="inlineStr">
        <is>
          <t>Other</t>
        </is>
      </c>
      <c r="J30" s="109" t="inlineStr"/>
      <c r="K30" s="109" t="inlineStr">
        <is>
          <t>Cancelled</t>
        </is>
      </c>
      <c r="L30" s="109" t="inlineStr">
        <is>
          <t>2026-05-19</t>
        </is>
      </c>
      <c r="M30" s="109" t="inlineStr">
        <is>
          <t>2026-05-19</t>
        </is>
      </c>
      <c r="N30" s="109" t="inlineStr">
        <is>
          <t>Nile Production Support</t>
        </is>
      </c>
      <c r="O30" s="109" t="inlineStr">
        <is>
          <t>Unassigned</t>
        </is>
      </c>
      <c r="P30" s="109" t="inlineStr">
        <is>
          <t>Vutukuri, Praveen</t>
        </is>
      </c>
      <c r="Q30" s="109" t="inlineStr">
        <is>
          <t>Cancelled</t>
        </is>
      </c>
      <c r="R30" s="47" t="inlineStr">
        <is>
          <t>It has to be raised to windows engineering I raised to PS team so cancelling the request</t>
        </is>
      </c>
      <c r="S30" s="109" t="inlineStr"/>
      <c r="T30" s="109" t="inlineStr"/>
      <c r="U30" s="109" t="inlineStr"/>
      <c r="V30" s="110" t="inlineStr">
        <is>
          <t>Other</t>
        </is>
      </c>
      <c r="W30" s="109" t="inlineStr">
        <is>
          <t>Yes</t>
        </is>
      </c>
    </row>
    <row r="31">
      <c r="A31" s="107" t="inlineStr">
        <is>
          <t>IT-3066419</t>
        </is>
      </c>
      <c r="B31" s="107" t="inlineStr">
        <is>
          <t>IT-3066419</t>
        </is>
      </c>
      <c r="C31" s="107" t="inlineStr"/>
      <c r="D31" s="44" t="inlineStr">
        <is>
          <t>bsbs_la weekly pipeline failures</t>
        </is>
      </c>
      <c r="E31" s="44" t="inlineStr">
        <is>
          <t>bcbs_la weekly pipelines multiple failures for 20260518.</t>
        </is>
      </c>
      <c r="F31" s="44" t="inlineStr">
        <is>
          <t>Hi, It Seems files are corrupted and tried rerunning the pipelines after respooling the file. Still facing the same issue. When checked raw files, they are 0 byte files and need replacement files to process. Informed EDM team engineer Karyn, she is working on getting the files. File names: ClaimNetworkIDCode_05182026.ZIP ERPProductCode_05182026.ZIP LineOfBusinessCode_05182026.ZIP NetworkIDCode_05182026.ZIP PlanDetailCode_05182026.ZIP ProviderCategoryCode_05182026.ZIP ProviderSpecialtyCode_05182026.ZIP ProviderTypeCode_05182026.ZIP</t>
        </is>
      </c>
      <c r="G31" s="44" t="inlineStr">
        <is>
          <t>pipelines are completed</t>
        </is>
      </c>
      <c r="H31" s="107" t="inlineStr">
        <is>
          <t>Other</t>
        </is>
      </c>
      <c r="I31" s="107" t="inlineStr">
        <is>
          <t>Other</t>
        </is>
      </c>
      <c r="J31" s="107" t="inlineStr"/>
      <c r="K31" s="107" t="inlineStr">
        <is>
          <t>Closed</t>
        </is>
      </c>
      <c r="L31" s="107" t="inlineStr">
        <is>
          <t>2026-05-19</t>
        </is>
      </c>
      <c r="M31" s="107" t="inlineStr">
        <is>
          <t>2026-05-19</t>
        </is>
      </c>
      <c r="N31" s="107" t="inlineStr">
        <is>
          <t>Nile Production Support</t>
        </is>
      </c>
      <c r="O31" s="107" t="inlineStr">
        <is>
          <t>Unassigned</t>
        </is>
      </c>
      <c r="P31" s="107" t="inlineStr">
        <is>
          <t>Kamsetty, Sravani</t>
        </is>
      </c>
      <c r="Q31" s="107" t="inlineStr">
        <is>
          <t>Done</t>
        </is>
      </c>
      <c r="R31" s="44" t="inlineStr">
        <is>
          <t>Hi, It Seems files are corrupted and tried rerunning the pipelines after respooling the file. Still facing the same issue. When checked raw files, they are 0 byte files and need replacement files to process. Informed EDM team engineer Karyn, she is working on getting the files. File names: ClaimNetworkIDCode_05182026.ZIP ERPProductCode_05182026.ZIP LineOfBusinessCode_05182026.ZIP NetworkIDCode_05182026.ZIP PlanDetailCode_05182026.ZIP ProviderCategoryCode_05182026.ZIP ProviderSpecialtyCode_05182026.ZIP ProviderTypeCode_05182026.ZIP</t>
        </is>
      </c>
      <c r="S31" s="107" t="inlineStr"/>
      <c r="T31" s="107" t="inlineStr"/>
      <c r="U31" s="107" t="inlineStr"/>
      <c r="V31" s="113" t="inlineStr">
        <is>
          <t>Other</t>
        </is>
      </c>
      <c r="W31" s="107" t="inlineStr">
        <is>
          <t>Yes</t>
        </is>
      </c>
    </row>
    <row r="32">
      <c r="A32" s="109" t="inlineStr">
        <is>
          <t>IT-3066156</t>
        </is>
      </c>
      <c r="B32" s="109" t="inlineStr">
        <is>
          <t>IT-3066156</t>
        </is>
      </c>
      <c r="C32" s="109" t="inlineStr"/>
      <c r="D32" s="47" t="inlineStr">
        <is>
          <t>Weekly pipeline rca_caresource_no_touch_update is getting failed for 05/11 and 05/18</t>
        </is>
      </c>
      <c r="E32" s="47" t="inlineStr">
        <is>
          <t>Above pipeline is getting failed with error message Post procedure failed: SP: sp_DataSwap_NileStage_to_TargetError 2627, Severity 14, State 1, Line 1, MSG: Violation of PRIMARY KEY constraint 'PK_ CnlyClai _DE549EBE9D47991F'. Cannot insert duplicate key in object 'dbo.CnlyClaimsNoTouch'. The duplicate key value is (802508400800, Oct 7 2021 12:00AM, Provider Exclusion). We have seen similar issue last week for which ticket was created and therefore closed with the ask for replacement file however we are unable to see any files processed by the pipeline. Please help investigate and fix the issue.</t>
        </is>
      </c>
      <c r="F32" s="47" t="inlineStr"/>
      <c r="G32" s="47" t="inlineStr"/>
      <c r="H32" s="109" t="inlineStr">
        <is>
          <t>Other</t>
        </is>
      </c>
      <c r="I32" s="109" t="inlineStr">
        <is>
          <t>Other</t>
        </is>
      </c>
      <c r="J32" s="109" t="inlineStr"/>
      <c r="K32" s="109" t="inlineStr">
        <is>
          <t>In Progress (HD1)</t>
        </is>
      </c>
      <c r="L32" s="109" t="inlineStr">
        <is>
          <t>2026-05-19</t>
        </is>
      </c>
      <c r="M32" s="109" t="inlineStr">
        <is>
          <t>2026-05-21</t>
        </is>
      </c>
      <c r="N32" s="109" t="inlineStr">
        <is>
          <t>Nile Production Support</t>
        </is>
      </c>
      <c r="O32" s="109" t="inlineStr">
        <is>
          <t>Unassigned</t>
        </is>
      </c>
      <c r="P32" s="109" t="inlineStr">
        <is>
          <t>Kandel, Amik</t>
        </is>
      </c>
      <c r="Q32" s="109" t="inlineStr">
        <is>
          <t>Unresolved</t>
        </is>
      </c>
      <c r="R32" s="47" t="inlineStr"/>
      <c r="S32" s="109" t="inlineStr"/>
      <c r="T32" s="109" t="inlineStr"/>
      <c r="U32" s="109" t="inlineStr"/>
      <c r="V32" s="112" t="inlineStr">
        <is>
          <t>Pipeline Schedule</t>
        </is>
      </c>
      <c r="W32" s="109" t="inlineStr"/>
    </row>
    <row r="33">
      <c r="A33" s="107" t="inlineStr">
        <is>
          <t>IT-3065992</t>
        </is>
      </c>
      <c r="B33" s="107" t="inlineStr">
        <is>
          <t>IT-3065992</t>
        </is>
      </c>
      <c r="C33" s="107" t="inlineStr"/>
      <c r="D33" s="44" t="inlineStr">
        <is>
          <t>rccv-caresource-facets-history_institutional_claims_custom_GDF2_13_CDF2_13 failed in Fail Stage-schema_validation_error [fail] stage</t>
        </is>
      </c>
      <c r="E33" s="44" t="inlineStr">
        <is>
          <t>Pipeline: rccv-caresource-facets-history_institutional_claims_custom_GDF2_13_CDF2_13 failed in Fail Stage-schema_validation_error [fail] stage, Can you please have a analysis on the data file once for the issue. if minor issue, if we can override the parameters and proceed ahead for this?</t>
        </is>
      </c>
      <c r="F33" s="44" t="inlineStr">
        <is>
          <t>There is only 1 rejected record. Need to get confirmation. I see there is an email for confirmation: Client file schema validation error - 20260513_01 - prod - rccv-caresource-facets-history_institutional_claims_custom_GDF2_13_CDF2_13</t>
        </is>
      </c>
      <c r="G33" s="44" t="inlineStr">
        <is>
          <t>file processed successfully.</t>
        </is>
      </c>
      <c r="H33" s="107" t="inlineStr">
        <is>
          <t>Other</t>
        </is>
      </c>
      <c r="I33" s="107" t="inlineStr">
        <is>
          <t>Other</t>
        </is>
      </c>
      <c r="J33" s="107" t="inlineStr"/>
      <c r="K33" s="107" t="inlineStr">
        <is>
          <t>Closed</t>
        </is>
      </c>
      <c r="L33" s="107" t="inlineStr">
        <is>
          <t>2026-05-18</t>
        </is>
      </c>
      <c r="M33" s="107" t="inlineStr">
        <is>
          <t>2026-05-20</t>
        </is>
      </c>
      <c r="N33" s="107" t="inlineStr">
        <is>
          <t>Nile Production Support</t>
        </is>
      </c>
      <c r="O33" s="107" t="inlineStr">
        <is>
          <t>Unassigned</t>
        </is>
      </c>
      <c r="P33" s="107" t="inlineStr">
        <is>
          <t>Raya, Birajan</t>
        </is>
      </c>
      <c r="Q33" s="107" t="inlineStr">
        <is>
          <t>Resolved</t>
        </is>
      </c>
      <c r="R33" s="44" t="inlineStr">
        <is>
          <t>There is only 1 rejected record. Need to get confirmation. I see there is an email for confirmation: Client file schema validation error - 20260513_01 - prod - rccv-caresource-facets-history_institutional_claims_custom_GDF2_13_CDF2_13</t>
        </is>
      </c>
      <c r="S33" s="107" t="inlineStr"/>
      <c r="T33" s="107" t="inlineStr"/>
      <c r="U33" s="107" t="inlineStr"/>
      <c r="V33" s="113" t="inlineStr">
        <is>
          <t>Other</t>
        </is>
      </c>
      <c r="W33" s="107" t="inlineStr">
        <is>
          <t>Yes</t>
        </is>
      </c>
    </row>
    <row r="34">
      <c r="A34" s="109" t="inlineStr">
        <is>
          <t>IT-3065780</t>
        </is>
      </c>
      <c r="B34" s="109" t="inlineStr">
        <is>
          <t>IT-3065780</t>
        </is>
      </c>
      <c r="C34" s="109" t="inlineStr"/>
      <c r="D34" s="47" t="inlineStr">
        <is>
          <t>CEPMR :: CEPMR Inpatient 7p and 10p :: 5/18/2026</t>
        </is>
      </c>
      <c r="E34" s="47" t="inlineStr">
        <is>
          <t>File Processing Failures for: cepmr_inpatient_incoming_7p.05-18-2026_1135 cepmr_inpatient_incoming_10p.05-18-2026_1545</t>
        </is>
      </c>
      <c r="F34" s="47" t="inlineStr">
        <is>
          <t>File : cepmr_inpatient_incoming_7p.05-18-2026_1135 QA Status : FAILED Reason : FAILED - Excessive failed lines (~100%) QA Test Name: excessive_fails Pre/Post Run: 1 Result: FAILED - Excessive failed lines (~100%) The Run Results Log: PayerShort: CEPMR MemberId: C0065703301 DependentId: ClaimId: Y231MCE18802 Line: 1 Error: Error parsing field PATIENT_ZIP with format String PayerShort: CEPMR MemberId: C0065703301 DependentId: ClaimId: Y231MCE18802 Line: 2 Error: Error parsing field PATIENT_ZIP with format String CEPMR|T|1927|20260518|2|P TRAILER|2|20260518|113011 File : cepmr_inpatient_incoming_10p.05-18-2026_1545 QA Status : FAILED Reason : FAILED - Excessive failed lines (~100%) QA Test Name: excessive_fails Pre/Post Run: 1 Result: FAILED - Excessive failed lines (~100%) The Run Results Log: PayerShort: CEPMR MemberId: C4092768801 DependentId: TaxId: 710236917 ProviderId: P100011057630094 ClaimId: Y325MC524066 Error: LETTER_PLAN_CODE is blank CEPMR|T|1930|20260518|1|P TRAILER|1|20260518|034051 Sent and email asking for a replacement file Email ref: CEPMR Inpatient File Failure - 05/18/2026 waiting for client to send the replacement file.</t>
        </is>
      </c>
      <c r="G34" s="47" t="inlineStr"/>
      <c r="H34" s="109" t="inlineStr">
        <is>
          <t>Other</t>
        </is>
      </c>
      <c r="I34" s="109" t="inlineStr">
        <is>
          <t>Other</t>
        </is>
      </c>
      <c r="J34" s="109" t="inlineStr"/>
      <c r="K34" s="109" t="inlineStr">
        <is>
          <t>On Hold</t>
        </is>
      </c>
      <c r="L34" s="109" t="inlineStr">
        <is>
          <t>2026-05-18</t>
        </is>
      </c>
      <c r="M34" s="109" t="inlineStr">
        <is>
          <t>2026-05-20</t>
        </is>
      </c>
      <c r="N34" s="109" t="inlineStr">
        <is>
          <t>Nile Production Support</t>
        </is>
      </c>
      <c r="O34" s="109" t="inlineStr">
        <is>
          <t>Unassigned</t>
        </is>
      </c>
      <c r="P34" s="109" t="inlineStr">
        <is>
          <t>Edwards, Andrea</t>
        </is>
      </c>
      <c r="Q34" s="109" t="inlineStr">
        <is>
          <t>Unresolved</t>
        </is>
      </c>
      <c r="R34" s="47" t="inlineStr">
        <is>
          <t>File : cepmr_inpatient_incoming_7p.05-18-2026_1135 QA Status : FAILED Reason : FAILED - Excessive failed lines (~100%) QA Test Name: excessive_fails Pre/Post Run: 1 Result: FAILED - Excessive failed lines (~100%) The Run Results Log: PayerShort: CEPMR MemberId: C0065703301 DependentId: ClaimId: Y231MCE18802 Line: 1 Error: Error parsing field PATIENT_ZIP with format String PayerShort: CEPMR MemberId: C0065703301 DependentId: ClaimId: Y231MCE18802 Line: 2 Error: Error parsing field PATIENT_ZIP with format String CEPMR|T|1927|20260518|2|P TRAILER|2|20260518|113011 File : cepmr_inpatient_incoming_10p.05-18-2026_1545 QA Status : FAILED Reason : FAILED - Excessive failed lines (~100%) QA Test Name: excessive_fails Pre/Post Run: 1 Result: FAILED - Excessive failed lines (~100%) The Run Results Log: PayerShort: CEPMR MemberId: C4092768801 DependentId: TaxId: 710236917 ProviderId: P100011057630094 ClaimId: Y325MC524066 Error: LETTER_PLAN_CODE is blank CEPMR|T|1930|20260518|1|P TRAILER|1|20260518|034051 Sent and email asking for a replacement file Email ref: CEPMR Inpatient File Failure - 05/18/2026 waiting for client to send the replacement file.</t>
        </is>
      </c>
      <c r="S34" s="109" t="inlineStr"/>
      <c r="T34" s="109" t="inlineStr"/>
      <c r="U34" s="109" t="inlineStr"/>
      <c r="V34" s="114" t="inlineStr">
        <is>
          <t>File Issue</t>
        </is>
      </c>
      <c r="W34" s="109" t="inlineStr"/>
    </row>
    <row r="35">
      <c r="A35" s="107" t="inlineStr">
        <is>
          <t>IT-3065776</t>
        </is>
      </c>
      <c r="B35" s="107" t="inlineStr">
        <is>
          <t>IT-3065776</t>
        </is>
      </c>
      <c r="C35" s="107" t="inlineStr"/>
      <c r="D35" s="44" t="inlineStr">
        <is>
          <t>Oscar PCCV TBA Files</t>
        </is>
      </c>
      <c r="E35" s="44" t="inlineStr">
        <is>
          <t>Hello, Our team CRS support received IT-3054599 for OSCAR PCCV TBA file. Can you confirm if we received the data from the client for this date? TBA File was not loaded to production dated 4/18/2026, 4/19/2026, and 2/1/2026 for Oscar PCCV. Client is requesting 2 claims (84WJKM8P and AEN4EYJG) appear to be aging and not viewable in CAT to be reviewed after additional research the user is not seeing files for the dates mentioned above.</t>
        </is>
      </c>
      <c r="F35" s="44" t="inlineStr">
        <is>
          <t>Hi Dhruvi, We never received the tba files from Oscar client on 2/1, 4/18, and 4/19 and we had escalated with them. Thank you melly</t>
        </is>
      </c>
      <c r="G35" s="44" t="inlineStr"/>
      <c r="H35" s="107" t="inlineStr">
        <is>
          <t>Other</t>
        </is>
      </c>
      <c r="I35" s="107" t="inlineStr">
        <is>
          <t>Other</t>
        </is>
      </c>
      <c r="J35" s="107" t="inlineStr"/>
      <c r="K35" s="107" t="inlineStr">
        <is>
          <t>In Progress (HD1)</t>
        </is>
      </c>
      <c r="L35" s="107" t="inlineStr">
        <is>
          <t>2026-05-18</t>
        </is>
      </c>
      <c r="M35" s="107" t="inlineStr">
        <is>
          <t>2026-05-19</t>
        </is>
      </c>
      <c r="N35" s="107" t="inlineStr">
        <is>
          <t>Nile Production Support</t>
        </is>
      </c>
      <c r="O35" s="107" t="inlineStr">
        <is>
          <t>Unassigned</t>
        </is>
      </c>
      <c r="P35" s="107" t="inlineStr">
        <is>
          <t>Patel, Dhruvi</t>
        </is>
      </c>
      <c r="Q35" s="107" t="inlineStr">
        <is>
          <t>Unresolved</t>
        </is>
      </c>
      <c r="R35" s="44" t="inlineStr">
        <is>
          <t>Hi Dhruvi, We never received the tba files from Oscar client on 2/1, 4/18, and 4/19 and we had escalated with them. Thank you melly</t>
        </is>
      </c>
      <c r="S35" s="107" t="inlineStr"/>
      <c r="T35" s="107" t="inlineStr"/>
      <c r="U35" s="107" t="inlineStr"/>
      <c r="V35" s="113" t="inlineStr">
        <is>
          <t>Other</t>
        </is>
      </c>
      <c r="W35" s="107" t="inlineStr">
        <is>
          <t>Yes</t>
        </is>
      </c>
    </row>
    <row r="36">
      <c r="A36" s="109" t="inlineStr">
        <is>
          <t>IT-3065246</t>
        </is>
      </c>
      <c r="B36" s="109" t="inlineStr">
        <is>
          <t>IT-3065246</t>
        </is>
      </c>
      <c r="C36" s="109" t="inlineStr"/>
      <c r="D36" s="47" t="inlineStr">
        <is>
          <t>cepmr_inpatient_incoming_7p.05-18-2026_1135 - file failure- Excessive failed lines (~100%)</t>
        </is>
      </c>
      <c r="E36" s="47" t="inlineStr">
        <is>
          <t>cepmr_inpatient_incoming_7p (2) Total Lines Processed for Run : 2 File Processing Information: ---------------------------------------------------------------------------------------------------- File : cepmr_inpatient_incoming_7p.05-18-2026_1135 QA Status : FAILED Reason : FAILED - Excessive failed lines (~100%) The QA Log: QA Test Name: excessive_fails Pre/Post Run: 1 Result: FAILED - Excessive failed lines (~100%) The Run Results Log: PayerShort: CEPMR ClaimId: Y231MCE18802 Line: 1 Error: Error parsing field PATIENT_ZIP with format String PayerShort: CEPMR ClaimId: Y231MCE18802 Line: 2 Error: Error parsing field PATIENT_ZIP with format String CEPMR|T|1927|20260518|2|P TRAILER|2|20260518|113011 Mon May 18 11:35:07 EDT 2026 RECOMMENDATION COUNT (Claim) FAILS 1 Total Hits 0 PayerShort: CEPMR Error parsing field PATIENT_ZIP with format String occurs 1 times Total Time: 00:02</t>
        </is>
      </c>
      <c r="F36" s="47" t="inlineStr">
        <is>
          <t>Sent an email requesting a replacement file Requested a replacement file</t>
        </is>
      </c>
      <c r="G36" s="47" t="inlineStr"/>
      <c r="H36" s="109" t="inlineStr"/>
      <c r="I36" s="109" t="inlineStr"/>
      <c r="J36" s="109" t="inlineStr"/>
      <c r="K36" s="109" t="inlineStr">
        <is>
          <t>Awaiting Third Party</t>
        </is>
      </c>
      <c r="L36" s="109" t="inlineStr">
        <is>
          <t>2026-05-18</t>
        </is>
      </c>
      <c r="M36" s="109" t="inlineStr">
        <is>
          <t>2026-05-18</t>
        </is>
      </c>
      <c r="N36" s="109" t="inlineStr">
        <is>
          <t>Nile Production Support</t>
        </is>
      </c>
      <c r="O36" s="109" t="inlineStr">
        <is>
          <t>Unassigned</t>
        </is>
      </c>
      <c r="P36" s="109" t="inlineStr">
        <is>
          <t>Bohannon, Stevin</t>
        </is>
      </c>
      <c r="Q36" s="109" t="inlineStr">
        <is>
          <t>Unresolved</t>
        </is>
      </c>
      <c r="R36" s="47" t="inlineStr">
        <is>
          <t>Sent an email requesting a replacement file Requested a replacement file</t>
        </is>
      </c>
      <c r="S36" s="109" t="inlineStr"/>
      <c r="T36" s="109" t="inlineStr"/>
      <c r="U36" s="109" t="inlineStr"/>
      <c r="V36" s="114" t="inlineStr">
        <is>
          <t>File Issue</t>
        </is>
      </c>
      <c r="W36" s="109" t="inlineStr"/>
    </row>
    <row r="37">
      <c r="A37" s="107" t="inlineStr">
        <is>
          <t>IT-3065232</t>
        </is>
      </c>
      <c r="B37" s="107" t="inlineStr">
        <is>
          <t>IT-3065232</t>
        </is>
      </c>
      <c r="C37" s="107" t="inlineStr"/>
      <c r="D37" s="44" t="inlineStr">
        <is>
          <t>bcbs_mn file back to ftp</t>
        </is>
      </c>
      <c r="E37" s="44" t="inlineStr">
        <is>
          <t>hello, i need this file back to the ftp "Y:\Ftp\B2B\BCBS_MN\Incoming\BCBSMN_Vendor_Offshore_Restrictions_Grid_20260513.txt" engineering team needs to have access to this as it is a new file and they working on implementing it into the downstream.</t>
        </is>
      </c>
      <c r="F37" s="44" t="inlineStr"/>
      <c r="G37" s="44" t="inlineStr">
        <is>
          <t>restored the file to FTP</t>
        </is>
      </c>
      <c r="H37" s="107" t="inlineStr">
        <is>
          <t>Other</t>
        </is>
      </c>
      <c r="I37" s="107" t="inlineStr">
        <is>
          <t>Other</t>
        </is>
      </c>
      <c r="J37" s="107" t="inlineStr"/>
      <c r="K37" s="107" t="inlineStr">
        <is>
          <t>Closed</t>
        </is>
      </c>
      <c r="L37" s="107" t="inlineStr">
        <is>
          <t>2026-05-18</t>
        </is>
      </c>
      <c r="M37" s="107" t="inlineStr">
        <is>
          <t>2026-05-18</t>
        </is>
      </c>
      <c r="N37" s="107" t="inlineStr">
        <is>
          <t>Nile Production Support</t>
        </is>
      </c>
      <c r="O37" s="107" t="inlineStr">
        <is>
          <t>Unassigned</t>
        </is>
      </c>
      <c r="P37" s="107" t="inlineStr">
        <is>
          <t>Cardona, Karyn</t>
        </is>
      </c>
      <c r="Q37" s="107" t="inlineStr">
        <is>
          <t>Resolved</t>
        </is>
      </c>
      <c r="R37" s="44" t="inlineStr"/>
      <c r="S37" s="107" t="inlineStr"/>
      <c r="T37" s="107" t="inlineStr"/>
      <c r="U37" s="107" t="inlineStr"/>
      <c r="V37" s="113" t="inlineStr">
        <is>
          <t>Other</t>
        </is>
      </c>
      <c r="W37" s="107" t="inlineStr">
        <is>
          <t>Yes</t>
        </is>
      </c>
    </row>
    <row r="38">
      <c r="A38" s="109" t="inlineStr">
        <is>
          <t>IT-3065073</t>
        </is>
      </c>
      <c r="B38" s="109" t="inlineStr">
        <is>
          <t>IT-3065073</t>
        </is>
      </c>
      <c r="C38" s="109" t="inlineStr"/>
      <c r="D38" s="47" t="inlineStr">
        <is>
          <t>Help needed on loading Banner Auth files</t>
        </is>
      </c>
      <c r="E38" s="47" t="inlineStr">
        <is>
          <t>hello team Banner is sending us AUTh files for ingestion, would you please help load them? File info has been attached with this ticket. Server and table info will be shared soon in the comment section. Thank you and please let me know if more info is needed,</t>
        </is>
      </c>
      <c r="F38" s="47" t="inlineStr">
        <is>
          <t>hello team I am trying to get the layout of this file, so the table can be created and shared with your team. but the contact person is out of office today, i will follow up tomorrow and update you. Thank you ! waiting for confirmation from the implementation team or not.</t>
        </is>
      </c>
      <c r="G38" s="47" t="inlineStr"/>
      <c r="H38" s="109" t="inlineStr">
        <is>
          <t>Other</t>
        </is>
      </c>
      <c r="I38" s="109" t="inlineStr">
        <is>
          <t>Other</t>
        </is>
      </c>
      <c r="J38" s="109" t="inlineStr"/>
      <c r="K38" s="109" t="inlineStr">
        <is>
          <t>On Hold</t>
        </is>
      </c>
      <c r="L38" s="109" t="inlineStr">
        <is>
          <t>2026-05-18</t>
        </is>
      </c>
      <c r="M38" s="109" t="inlineStr">
        <is>
          <t>2026-05-21</t>
        </is>
      </c>
      <c r="N38" s="109" t="inlineStr">
        <is>
          <t>Nile Production Support</t>
        </is>
      </c>
      <c r="O38" s="109" t="inlineStr">
        <is>
          <t>Unassigned</t>
        </is>
      </c>
      <c r="P38" s="109" t="inlineStr">
        <is>
          <t>Tang, Chao</t>
        </is>
      </c>
      <c r="Q38" s="109" t="inlineStr">
        <is>
          <t>Unresolved</t>
        </is>
      </c>
      <c r="R38" s="47" t="inlineStr">
        <is>
          <t>hello team I am trying to get the layout of this file, so the table can be created and shared with your team. but the contact person is out of office today, i will follow up tomorrow and update you. Thank you ! waiting for confirmation from the implementation team or not.</t>
        </is>
      </c>
      <c r="S38" s="109" t="inlineStr"/>
      <c r="T38" s="109" t="inlineStr"/>
      <c r="U38" s="109" t="inlineStr"/>
      <c r="V38" s="122" t="inlineStr">
        <is>
          <t>Issue Platform</t>
        </is>
      </c>
      <c r="W38" s="109" t="inlineStr"/>
    </row>
    <row r="39">
      <c r="A39" s="107" t="inlineStr">
        <is>
          <t>IT-3064950</t>
        </is>
      </c>
      <c r="B39" s="107" t="inlineStr">
        <is>
          <t>IT-3064950</t>
        </is>
      </c>
      <c r="C39" s="107" t="inlineStr"/>
      <c r="D39" s="44" t="inlineStr">
        <is>
          <t>Copy files From Nile Prod Raw path to Nile QC Raw path - Aetna Trad</t>
        </is>
      </c>
      <c r="E39" s="44" t="inlineStr">
        <is>
          <t>Hi Team, Could you please copy the below mentioned files from the Nile PROD location to the Nile QC location? for the last week files, 05/11/2026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9" s="44" t="inlineStr">
        <is>
          <t>I ran the following commands and verified the data matches. Closing this ticket. hdfs dfs -du /dataingestionprod/raw/unrestricted/5-aetna-traditional hadoop distcp /dataingestionprod/raw/unrestricted/5-aetna-traditional/20260513 /dataingestionqc/raw/unrestricted/5-aetna-traditional/ hadoop distcp /dataingestionprod/raw/unrestricted/5-aetna-traditional/20260514 /dataingestionqc/raw/unrestricted/5-aetna-traditional/ hadoop distcp /dataingestionprod/raw/unrestricted/5-aetna-traditional/20260515 /dataingestionqc/raw/unrestricted/5-aetna-traditional/ hadoop distcp /dataingestionprod/raw/unrestricted/5-aetna-traditional/20260516 /dataingestionqc/raw/unrestricted/5-aetna-traditional/ hdfs dfs -chown -R svcpnilediqcraw /dataingestionqc/raw/unrestricted/5-aetna-traditional hdfs dfs -chgrp -R qcunrestricted /dataingestionqc/raw/unrestricted/5-aetna-traditional hdfs dfs -chmod -R 750 /dataingestionqc/raw/unrestricted/5-aetna-traditional hdfs dfs -du /dataingestionprod/raw/unrestricted/5-aetna-traditional/ | grep 20260511 hdfs dfs -du /dataingestionqc/raw/unrestricted/5-aetna-traditional/ | grep 20260511 hdfs dfs -du /dataingestionprod/raw/unrestricted/5-aetna-traditional/ | grep 20260513 hdfs dfs -du /dataingestionqc/raw/unrestricted/5-aetna-traditional/ | grep 20260513 hdfs dfs -du /dataingestionprod/raw/unrestricted/5-aetna-traditional/ | grep 20260514 hdfs dfs -du /dataingestionqc/raw/unrestricted/5-aetna-traditional/ | grep 20260514 hdfs dfs -du /dataingestionprod/raw/unrestricted/5-aetna-traditional/ | grep 20260515 hdfs dfs -du /dataingestionqc/raw/unrestricted/5-aetna-traditional/ | grep 20260515 hdfs dfs -du /dataingestionprod/raw/unrestricted/5-aetna-traditional/ | grep 20260516 hdfs dfs -du /dataingestionqc/raw/unrestricted/5-aetna-traditional/ | grep 20260516 [kevin.birney@usapnlhdpe01 ~] &lt;PROD&gt;$ hdfs dfs -du /dataingestionprod/raw/unrestricted/5-aetna-traditional/ | grep 20260511 19504703912 58514111736 /dataingestionprod/raw/unrestricted/5-aetna-traditional/20260511 [kevin.birney@usapnlhdpe01 ~] &lt;PROD&gt;$ hdfs dfs -du /dataingestionqc/raw/unrestricted/5-aetna-traditional/ | grep 20260511 19504703912 58514111736 /dataingestionqc/raw/unrestricted/5-aetna-traditional/20260511 [kevin.birney@usapnlhdpe01 ~] &lt;PROD&gt;$ hdfs dfs -du /dataingestionprod/raw/unrestricted/5-aetna-traditional/ | grep 20260513 23620781690 70862345070 /dataingestionprod/raw/unrestricted/5-aetna-traditional/20260513 [kevin.birney@usapnlhdpe01 ~] &lt;PROD&gt;$ hdfs dfs -du /dataingestionqc/raw/unrestricted/5-aetna-traditional/ | grep 20260513 23620781690 70862345070 /dataingestionqc/raw/unrestricted/5-aetna-traditional/20260513 [kevin.birney@usapnlhdpe01 ~] &lt;PROD&gt;$ hdfs dfs -du /dataingestionprod/raw/unrestricted/5-aetna-traditional/ | grep 20260514 44409552494 133228657482 /dataingestionprod/raw/unrestricted/5-aetna-traditional/20260514 [kevin.birney@usapnlhdpe01 ~] &lt;PROD&gt;$ hdfs dfs -du /dataingestionqc/raw/unrestricted/5-aetna-traditional/ | grep 20260514 44409552494 133228657482 /dataingestionqc/raw/unrestricted/5-aetna-traditional/20260514 [kevin.birney@usapnlhdpe01 ~] &lt;PROD&gt;$ hdfs dfs -du /dataingestionprod/raw/unrestricted/5-aetna-traditional/ | grep 20260515 19649289706 58947869118 /dataingestionprod/raw/unrestricted/5-aetna-traditional/20260515 [kevin.birney@usapnlhdpe01 ~] &lt;PROD&gt;$ hdfs dfs -du /dataingestionqc/raw/unrestricted/5-aetna-traditional/ | grep 20260515 19649289706 58947869118 /dataingestionqc/raw/unrestricted/5-aetna-traditional/20260515 [kevin.birney@usapnlhdpe01 ~] &lt;PROD&gt;$ hdfs dfs -du /dataingestionprod/raw/unrestricted/5-aetna-traditional/ | grep 20260516 1585538132 4756614396 /dataingestionprod/raw/unrestricted/5-aetna-traditional/20260516 [kevin.birney@usapnlhdpe01 ~] &lt;PROD&gt;$ hdfs dfs -du /dataingestionqc/raw/unrestricted/5-aetna-traditional/ | grep 20260516 1585538132 4756614396 /dataingestionqc/raw/unrestricted/5-aetna-traditional/20260516 [kevin.birney@usapnlhdpe01 ~] &lt;PROD&gt;$</t>
        </is>
      </c>
      <c r="G39" s="44" t="inlineStr">
        <is>
          <t>all data copied as requested.</t>
        </is>
      </c>
      <c r="H39" s="107" t="inlineStr">
        <is>
          <t>Other</t>
        </is>
      </c>
      <c r="I39" s="107" t="inlineStr">
        <is>
          <t>Other</t>
        </is>
      </c>
      <c r="J39" s="107" t="inlineStr"/>
      <c r="K39" s="107" t="inlineStr">
        <is>
          <t>Closed</t>
        </is>
      </c>
      <c r="L39" s="107" t="inlineStr">
        <is>
          <t>2026-05-18</t>
        </is>
      </c>
      <c r="M39" s="107" t="inlineStr">
        <is>
          <t>2026-05-18</t>
        </is>
      </c>
      <c r="N39" s="107" t="inlineStr">
        <is>
          <t>Nile Production Support</t>
        </is>
      </c>
      <c r="O39" s="107" t="inlineStr">
        <is>
          <t>Unassigned</t>
        </is>
      </c>
      <c r="P39" s="107" t="inlineStr">
        <is>
          <t>Shivalingu, Naveen</t>
        </is>
      </c>
      <c r="Q39" s="107" t="inlineStr">
        <is>
          <t>Resolved</t>
        </is>
      </c>
      <c r="R39" s="44" t="inlineStr">
        <is>
          <t>I ran the following commands and verified the data matches. Closing this ticket. hdfs dfs -du /dataingestionprod/raw/unrestricted/5-aetna-traditional hadoop distcp /dataingestionprod/raw/unrestricted/5-aetna-traditional/20260513 /dataingestionqc/raw/unrestricted/5-aetna-traditional/ hadoop distcp /dataingestionprod/raw/unrestricted/5-aetna-traditional/20260514 /dataingestionqc/raw/unrestricted/5-aetna-traditional/ hadoop distcp /dataingestionprod/raw/unrestricted/5-aetna-traditional/20260515 /dataingestionqc/raw/unrestricted/5-aetna-traditional/ hadoop distcp /dataingestionprod/raw/unrestricted/5-aetna-traditional/20260516 /dataingestionqc/raw/unrestricted/5-aetna-traditional/ hdfs dfs -chown -R svcpnilediqcraw /dataingestionqc/raw/unrestricted/5-aetna-traditional hdfs dfs -chgrp -R qcunrestricted /dataingestionqc/raw/unrestricted/5-aetna-traditional hdfs dfs -chmod -R 750 /dataingestionqc/raw/unrestricted/5-aetna-traditional hdfs dfs -du /dataingestionprod/raw/unrestricted/5-aetna-traditional/ | grep 20260511 hdfs dfs -du /dataingestionqc/raw/unrestricted/5-aetna-traditional/ | grep 20260511 hdfs dfs -du /dataingestionprod/raw/unrestricted/5-aetna-traditional/ | grep 20260513 hdfs dfs -du /dataingestionqc/raw/unrestricted/5-aetna-traditional/ | grep 20260513 hdfs dfs -du /dataingestionprod/raw/unrestricted/5-aetna-traditional/ | grep 20260514 hdfs dfs -du /dataingestionqc/raw/unrestricted/5-aetna-traditional/ | grep 20260514 hdfs dfs -du /dataingestionprod/raw/unrestricted/5-aetna-traditional/ | grep 20260515 hdfs dfs -du /dataingestionqc/raw/unrestricted/5-aetna-traditional/ | grep 20260515 hdfs dfs -du /dataingestionprod/raw/unrestricted/5-aetna-traditional/ | grep 20260516 hdfs dfs -du /dataingestionqc/raw/unrestricted/5-aetna-traditional/ | grep 20260516 [kevin.birney@usapnlhdpe01 ~] &lt;PROD&gt;$ hdfs dfs -du /dataingestionprod/raw/unrestricted/5-aetna-traditional/ | grep 20260511 19504703912 58514111736 /dataingestionprod/raw/unrestricted/5-aetna-traditional/20260511 [kevin.birney@usapnlhdpe01 ~] &lt;PROD&gt;$ hdfs dfs -du /dataingestionqc/raw/unrestricted/5-aetna-traditional/ | grep 20260511 19504703912 58514111736 /dataingestionqc/raw/unrestricted/5-aetna-traditional/20260511 [kevin.birney@usapnlhdpe01 ~] &lt;PROD&gt;$ hdfs dfs -du /dataingestionprod/raw/unrestricted/5-aetna-traditional/ | grep 20260513 23620781690 70862345070 /dataingestionprod/raw/unrestricted/5-aetna-traditional/20260513 [kevin.birney@usapnlhdpe01 ~] &lt;PROD&gt;$ hdfs dfs -du /dataingestionqc/raw/unrestricted/5-aetna-traditional/ | grep 20260513 23620781690 70862345070 /dataingestionqc/raw/unrestricted/5-aetna-traditional/20260513 [kevin.birney@usapnlhdpe01 ~] &lt;PROD&gt;$ hdfs dfs -du /dataingestionprod/raw/unrestricted/5-aetna-traditional/ | grep 20260514 44409552494 133228657482 /dataingestionprod/raw/unrestricted/5-aetna-traditional/20260514 [kevin.birney@usapnlhdpe01 ~] &lt;PROD&gt;$ hdfs dfs -du /dataingestionqc/raw/unrestricted/5-aetna-traditional/ | grep 20260514 44409552494 133228657482 /dataingestionqc/raw/unrestricted/5-aetna-traditional/20260514 [kevin.birney@usapnlhdpe01 ~] &lt;PROD&gt;$ hdfs dfs -du /dataingestionprod/raw/unrestricted/5-aetna-traditional/ | grep 20260515 19649289706 58947869118 /dataingestionprod/raw/unrestricted/5-aetna-traditional/20260515 [kevin.birney@usapnlhdpe01 ~] &lt;PROD&gt;$ hdfs dfs -du /dataingestionqc/raw/unrestricted/5-aetna-traditional/ | grep 20260515 19649289706 58947869118 /dataingestionqc/raw/unrestricted/5-aetna-traditional/20260515 [kevin.birney@usapnlhdpe01 ~] &lt;PROD&gt;$ hdfs dfs -du /dataingestionprod/raw/unrestricted/5-aetna-traditional/ | grep 20260516 1585538132 4756614396 /dataingestionprod/raw/unrestricted/5-aetna-traditional/20260516 [kevin.birney@usapnlhdpe01 ~] &lt;PROD&gt;$ hdfs dfs -du /dataingestionqc/raw/unrestricted/5-aetna-traditional/ | grep 20260516 1585538132 4756614396 /dataingestionqc/raw/unrestricted/5-aetna-traditional/20260516 [kevin.birney@usapnlhdpe01 ~] &lt;PROD&gt;$</t>
        </is>
      </c>
      <c r="S39" s="107" t="inlineStr"/>
      <c r="T39" s="107" t="inlineStr"/>
      <c r="U39" s="107" t="inlineStr"/>
      <c r="V39" s="113" t="inlineStr">
        <is>
          <t>Other</t>
        </is>
      </c>
      <c r="W39" s="107" t="inlineStr">
        <is>
          <t>Yes</t>
        </is>
      </c>
    </row>
    <row r="40">
      <c r="A40" s="109" t="inlineStr">
        <is>
          <t>IT-3064897</t>
        </is>
      </c>
      <c r="B40" s="109" t="inlineStr">
        <is>
          <t>IT-3064897</t>
        </is>
      </c>
      <c r="C40" s="109" t="inlineStr"/>
      <c r="D40" s="47" t="inlineStr">
        <is>
          <t>BCBS LA: Pipeline Failures | Data Date: 2026/05/18 | Error: possible file corruption or an invalid compression format</t>
        </is>
      </c>
      <c r="E40" s="47" t="inlineStr">
        <is>
          <t>UPDATE: empty zip files. EDM escalated to client ----------- All the pipelines below failed due to Error Message: The file extraction process has failed due to possible file corruption or an invalid compression format, Hence unable to unarchive the file using existing methods Please investigate - dm-bcbs_la-bcbs_la-actian_migration_ClaimNetworkIDCode dm-bcbs_la-bcbs_la-actian_migration_line_of_business_code dm-bcbs_la-bcbs_la-actian_migration_ERPProductCode_New_Layout dm-bcbs_la-bcbs_la-actian_migration_provider_category_code dm-bcbs_la-bcbs_la-actian_migration_ProviderSpecialityCode dm-bcbs_la-bcbs_la-actian_migration_ProviderTypeCode Thank you,</t>
        </is>
      </c>
      <c r="F40" s="47" t="inlineStr">
        <is>
          <t>we've received all the replacement files and have successfully ran and completed the pipelines accordingly.</t>
        </is>
      </c>
      <c r="G40" s="47" t="inlineStr">
        <is>
          <t>all tasks completed.</t>
        </is>
      </c>
      <c r="H40" s="109" t="inlineStr">
        <is>
          <t>Other</t>
        </is>
      </c>
      <c r="I40" s="109" t="inlineStr">
        <is>
          <t>Other</t>
        </is>
      </c>
      <c r="J40" s="109" t="inlineStr"/>
      <c r="K40" s="109" t="inlineStr">
        <is>
          <t>Closed</t>
        </is>
      </c>
      <c r="L40" s="109" t="inlineStr">
        <is>
          <t>2026-05-18</t>
        </is>
      </c>
      <c r="M40" s="109" t="inlineStr">
        <is>
          <t>2026-05-20</t>
        </is>
      </c>
      <c r="N40" s="109" t="inlineStr">
        <is>
          <t>Nile Production Support</t>
        </is>
      </c>
      <c r="O40" s="109" t="inlineStr">
        <is>
          <t>Unassigned</t>
        </is>
      </c>
      <c r="P40" s="109" t="inlineStr">
        <is>
          <t>Enid Ike</t>
        </is>
      </c>
      <c r="Q40" s="109" t="inlineStr">
        <is>
          <t>Resolved</t>
        </is>
      </c>
      <c r="R40" s="47" t="inlineStr">
        <is>
          <t>we've received all the replacement files and have successfully ran and completed the pipelines accordingly.</t>
        </is>
      </c>
      <c r="S40" s="109" t="inlineStr"/>
      <c r="T40" s="109" t="inlineStr"/>
      <c r="U40" s="109" t="inlineStr"/>
      <c r="V40" s="112" t="inlineStr">
        <is>
          <t>Pipeline Schedule</t>
        </is>
      </c>
      <c r="W40" s="109" t="inlineStr"/>
    </row>
    <row r="41">
      <c r="A41" s="107" t="inlineStr">
        <is>
          <t>IT-3064878</t>
        </is>
      </c>
      <c r="B41" s="107" t="inlineStr">
        <is>
          <t>IT-3064878</t>
        </is>
      </c>
      <c r="C41" s="107" t="inlineStr"/>
      <c r="D41" s="44" t="inlineStr">
        <is>
          <t>Premera - Shared Admin File Line Failures 5/15/26</t>
        </is>
      </c>
      <c r="E41" s="44" t="inlineStr">
        <is>
          <t>Premera received an inquiry from Cotiviti regarding the following files that were sent on 5/15/26. Looks like the history files are for the Shared Admin line of business. Could I get additional information about the cause of the “excessive line failures”? prebc_history_institutional_incoming_20260514_1.txt.pgp prebc_history_professional_incoming_20260514_1.txt.pgp</t>
        </is>
      </c>
      <c r="F41" s="44" t="inlineStr">
        <is>
          <t>Spinelli, Adam ---------------------------------------------------------------------------------------------------------------------------------------------------- prebc_history_professional_incoming_20260514_1.txt.pgp prebc_history_incoming_1.05-15-2026_1910 PayerShort: PBCSA Error parsing field CLAIM_BILLED_AMOUNT with format Double occurs 1504 times ---------------------------------------------------------------------------------------------------------------------------------------------------- prebc_history_institutional_incoming_20260514_1.txt.pgp prebc_ophistory_incoming_1.05-15-2026_1910 PayerShort: PBCSA Error parsing field VALUE_AMOUNT_1 (VALUE_AMOUNT_01) with format Double occurs 19 times Error parsing field SUB_NONCOVERED_AMOUNT with format Double occurs 136 times Error parsing field CLAIM_BILLED_AMOUNT with format Double occurs 196 times Hi Keaton, Please see the below feedback from Premera: Can you map the below fields to the field names in the GDF format for us? The fields below don’t map our documentation. An example from the file would also help us troubleshoot. CLAIM_BILLED_AMOUNT VALUE_AMOUNT_1 (VALUE_AMOUNT_01) SUB_NONCOVERED_AMOUNT Supplied mappings and some examples to Adam</t>
        </is>
      </c>
      <c r="G41" s="44" t="inlineStr"/>
      <c r="H41" s="107" t="inlineStr">
        <is>
          <t>Other</t>
        </is>
      </c>
      <c r="I41" s="107" t="inlineStr">
        <is>
          <t>Other</t>
        </is>
      </c>
      <c r="J41" s="107" t="inlineStr"/>
      <c r="K41" s="107" t="inlineStr">
        <is>
          <t>Open</t>
        </is>
      </c>
      <c r="L41" s="107" t="inlineStr">
        <is>
          <t>2026-05-18</t>
        </is>
      </c>
      <c r="M41" s="107" t="inlineStr">
        <is>
          <t>2026-05-20</t>
        </is>
      </c>
      <c r="N41" s="107" t="inlineStr">
        <is>
          <t>Nile Production Support</t>
        </is>
      </c>
      <c r="O41" s="107" t="inlineStr">
        <is>
          <t>Unassigned</t>
        </is>
      </c>
      <c r="P41" s="107" t="inlineStr">
        <is>
          <t>Spinelli, Adam</t>
        </is>
      </c>
      <c r="Q41" s="107" t="inlineStr">
        <is>
          <t>Unresolved</t>
        </is>
      </c>
      <c r="R41" s="44" t="inlineStr">
        <is>
          <t>Spinelli, Adam ---------------------------------------------------------------------------------------------------------------------------------------------------- prebc_history_professional_incoming_20260514_1.txt.pgp prebc_history_incoming_1.05-15-2026_1910 PayerShort: PBCSA Error parsing field CLAIM_BILLED_AMOUNT with format Double occurs 1504 times ---------------------------------------------------------------------------------------------------------------------------------------------------- prebc_history_institutional_incoming_20260514_1.txt.pgp prebc_ophistory_incoming_1.05-15-2026_1910 PayerShort: PBCSA Error parsing field VALUE_AMOUNT_1 (VALUE_AMOUNT_01) with format Double occurs 19 times Error parsing field SUB_NONCOVERED_AMOUNT with format Double occurs 136 times Error parsing field CLAIM_BILLED_AMOUNT with format Double occurs 196 times Hi Keaton, Please see the below feedback from Premera: Can you map the below fields to the field names in the GDF format for us? The fields below don’t map our documentation. An example from the file would also help us troubleshoot. CLAIM_BILLED_AMOUNT VALUE_AMOUNT_1 (VALUE_AMOUNT_01) SUB_NONCOVERED_AMOUNT Supplied mappings and some examples to Adam</t>
        </is>
      </c>
      <c r="S41" s="107" t="inlineStr"/>
      <c r="T41" s="107" t="inlineStr"/>
      <c r="U41" s="107" t="inlineStr"/>
      <c r="V41" s="113" t="inlineStr">
        <is>
          <t>Other</t>
        </is>
      </c>
      <c r="W41" s="107" t="inlineStr">
        <is>
          <t>Yes</t>
        </is>
      </c>
    </row>
    <row r="42">
      <c r="A42" s="109" t="inlineStr">
        <is>
          <t>IT-3064835</t>
        </is>
      </c>
      <c r="B42" s="109" t="inlineStr">
        <is>
          <t>IT-3064835</t>
        </is>
      </c>
      <c r="C42" s="109" t="inlineStr"/>
      <c r="D42" s="47" t="inlineStr">
        <is>
          <t>Humana claims pipeline failure</t>
        </is>
      </c>
      <c r="E42" s="47" t="inlineStr">
        <is>
          <t>Pipeline: prod - dm_humana-hdap-actian_migration_claim_detail Error msg: The file extraction process has failed due to possible file corruption or an invalid compression format, Hence unable to unarchive the file using existing methods. : icd10_medclm_202605.txt.gz This happened last month and again this month. Could someone please look into the root cause of this issue? Thank you</t>
        </is>
      </c>
      <c r="F42" s="47" t="inlineStr"/>
      <c r="G42" s="47" t="inlineStr"/>
      <c r="H42" s="109" t="inlineStr">
        <is>
          <t>Other</t>
        </is>
      </c>
      <c r="I42" s="109" t="inlineStr">
        <is>
          <t>Other</t>
        </is>
      </c>
      <c r="J42" s="109" t="inlineStr"/>
      <c r="K42" s="109" t="inlineStr">
        <is>
          <t>In Progress (HD1)</t>
        </is>
      </c>
      <c r="L42" s="109" t="inlineStr">
        <is>
          <t>2026-05-18</t>
        </is>
      </c>
      <c r="M42" s="109" t="inlineStr">
        <is>
          <t>2026-05-19</t>
        </is>
      </c>
      <c r="N42" s="109" t="inlineStr">
        <is>
          <t>Nile Production Support</t>
        </is>
      </c>
      <c r="O42" s="109" t="inlineStr">
        <is>
          <t>Unassigned</t>
        </is>
      </c>
      <c r="P42" s="109" t="inlineStr">
        <is>
          <t>Shrestha, Sajjan</t>
        </is>
      </c>
      <c r="Q42" s="109" t="inlineStr">
        <is>
          <t>Unresolved</t>
        </is>
      </c>
      <c r="R42" s="47" t="inlineStr"/>
      <c r="S42" s="109" t="inlineStr"/>
      <c r="T42" s="109" t="inlineStr"/>
      <c r="U42" s="109" t="inlineStr"/>
      <c r="V42" s="112" t="inlineStr">
        <is>
          <t>Pipeline Schedule</t>
        </is>
      </c>
      <c r="W42" s="109" t="inlineStr"/>
    </row>
    <row r="43">
      <c r="A43" s="107" t="inlineStr">
        <is>
          <t>IT-3064099</t>
        </is>
      </c>
      <c r="B43" s="107" t="inlineStr">
        <is>
          <t>IT-3064099</t>
        </is>
      </c>
      <c r="C43" s="107" t="inlineStr"/>
      <c r="D43" s="44" t="inlineStr">
        <is>
          <t>Aetna HRP Daily Claim File was not loaded</t>
        </is>
      </c>
      <c r="E43" s="44" t="inlineStr">
        <is>
          <t>Hello team on 5/12, we received 2 claims files, but only one file was loaded, file named: VENDOR.CB-CLAIMS-EXTRACT.260512221248 was not loaded would you please help load this file into table: [AetnaDataRawHRP] . [dbo] . [Claims_Load_Weekly_20260512] Also, please help investigate why is this file not loaded, i remember the nile pipeline was able to load more than one claim file if multiple file was received. Please leave this ticket open until the issue is found, or engineer is confirmed the pipeline is fixed and able to load more than one claim file per night when multiple file is received</t>
        </is>
      </c>
      <c r="F43" s="44" t="inlineStr"/>
      <c r="G43" s="44" t="inlineStr"/>
      <c r="H43" s="107" t="inlineStr"/>
      <c r="I43" s="107" t="inlineStr"/>
      <c r="J43" s="107" t="inlineStr"/>
      <c r="K43" s="107" t="inlineStr">
        <is>
          <t>Active</t>
        </is>
      </c>
      <c r="L43" s="107" t="inlineStr">
        <is>
          <t>2026-05-18</t>
        </is>
      </c>
      <c r="M43" s="107" t="inlineStr">
        <is>
          <t>2026-05-18</t>
        </is>
      </c>
      <c r="N43" s="107" t="inlineStr">
        <is>
          <t>Nile Production Support</t>
        </is>
      </c>
      <c r="O43" s="107" t="inlineStr">
        <is>
          <t>Unassigned</t>
        </is>
      </c>
      <c r="P43" s="107" t="inlineStr">
        <is>
          <t>Tang, Chao</t>
        </is>
      </c>
      <c r="Q43" s="107" t="inlineStr">
        <is>
          <t>Unresolved</t>
        </is>
      </c>
      <c r="R43" s="44" t="inlineStr"/>
      <c r="S43" s="107" t="inlineStr"/>
      <c r="T43" s="107" t="inlineStr"/>
      <c r="U43" s="107" t="inlineStr"/>
      <c r="V43" s="113" t="inlineStr">
        <is>
          <t>Other</t>
        </is>
      </c>
      <c r="W43" s="107" t="inlineStr">
        <is>
          <t>Yes</t>
        </is>
      </c>
    </row>
    <row r="44">
      <c r="A44" s="109" t="inlineStr">
        <is>
          <t>IT-3063906</t>
        </is>
      </c>
      <c r="B44" s="109" t="inlineStr">
        <is>
          <t>IT-3063906</t>
        </is>
      </c>
      <c r="C44" s="109" t="inlineStr"/>
      <c r="D44" s="47" t="inlineStr">
        <is>
          <t>Copy HCSC Data from Nile Dev to Nile Prod</t>
        </is>
      </c>
      <c r="E44" s="47" t="inlineStr">
        <is>
          <t>Hello Team, Reason for this request: HCSC ARK CDF has received sign-off from the business and we are now planning to transition this client to the Production Support team. As part of the checklist document, we need to copy the production data from the Dev environments to Production. I have attached the document containing all the relevant paths. Could you please help us with the data copy. Business Sign-Off Received: ✅ Yes Nile Peer Review: ✅ Yes Entities: Claims, Member, Provider and Postpay exclusion Data Source Environment: NILE DEV Target Environment: NILE PROD Data Range/Volumes: 20260301 - 20260429 (Monthly) Additional Notes: If the data already exists in prod, Please leave them as it is. Note: Please retain the user/group permissions Date Needed By: 25/05/2026</t>
        </is>
      </c>
      <c r="F44" s="47" t="inlineStr">
        <is>
          <t>HCSC-HCSC_data_copy from dev to prod.xlsx (16 kB) Hi Del Rosario, Sylma Joy , Could you please review and approve the below request? Approved Hi Bongu, Chandramouli Files copied please verify and let me know i will update the permissions Thanks</t>
        </is>
      </c>
      <c r="G44" s="47" t="inlineStr">
        <is>
          <t>Files Copied and updated permissions too</t>
        </is>
      </c>
      <c r="H44" s="109" t="inlineStr">
        <is>
          <t>Other</t>
        </is>
      </c>
      <c r="I44" s="109" t="inlineStr">
        <is>
          <t>Other</t>
        </is>
      </c>
      <c r="J44" s="109" t="inlineStr"/>
      <c r="K44" s="109" t="inlineStr">
        <is>
          <t>Closed</t>
        </is>
      </c>
      <c r="L44" s="109" t="inlineStr">
        <is>
          <t>2026-05-18</t>
        </is>
      </c>
      <c r="M44" s="109" t="inlineStr">
        <is>
          <t>2026-05-22</t>
        </is>
      </c>
      <c r="N44" s="109" t="inlineStr">
        <is>
          <t>Nile Production Support</t>
        </is>
      </c>
      <c r="O44" s="109" t="inlineStr">
        <is>
          <t>Unassigned</t>
        </is>
      </c>
      <c r="P44" s="109" t="inlineStr">
        <is>
          <t>Bongu, Chandramouli</t>
        </is>
      </c>
      <c r="Q44" s="109" t="inlineStr">
        <is>
          <t>Resolved</t>
        </is>
      </c>
      <c r="R44" s="47" t="inlineStr">
        <is>
          <t>HCSC-HCSC_data_copy from dev to prod.xlsx (16 kB) Hi Del Rosario, Sylma Joy , Could you please review and approve the below request? Approved Hi Bongu, Chandramouli Files copied please verify and let me know i will update the permissions Thanks</t>
        </is>
      </c>
      <c r="S44" s="109" t="inlineStr"/>
      <c r="T44" s="109" t="inlineStr"/>
      <c r="U44" s="109" t="inlineStr"/>
      <c r="V44" s="110" t="inlineStr">
        <is>
          <t>Other</t>
        </is>
      </c>
      <c r="W44" s="109" t="inlineStr">
        <is>
          <t>Yes</t>
        </is>
      </c>
    </row>
    <row r="45">
      <c r="A45" s="107" t="inlineStr">
        <is>
          <t>IT-3063793</t>
        </is>
      </c>
      <c r="B45" s="107" t="inlineStr">
        <is>
          <t>IT-3063793</t>
        </is>
      </c>
      <c r="C45" s="107" t="inlineStr"/>
      <c r="D45" s="44" t="inlineStr">
        <is>
          <t>BCBS_LA Weekly pipeline got failed</t>
        </is>
      </c>
      <c r="E45" s="44" t="inlineStr">
        <is>
          <t>BCBS_LA Weekly pipeline got failed on preprocesser stage.</t>
        </is>
      </c>
      <c r="F45" s="44" t="inlineStr">
        <is>
          <t>Hi, It Seems files are corrupted and tried rerunning the pipelines after respooling the file. Still facing the same issue. Received replacement files from client pipelines are running with replacement files Thanks All failed pipelines are completed</t>
        </is>
      </c>
      <c r="G45" s="44" t="inlineStr">
        <is>
          <t>All failed pipelines are completed</t>
        </is>
      </c>
      <c r="H45" s="107" t="inlineStr">
        <is>
          <t>Other</t>
        </is>
      </c>
      <c r="I45" s="107" t="inlineStr">
        <is>
          <t>Other</t>
        </is>
      </c>
      <c r="J45" s="107" t="inlineStr"/>
      <c r="K45" s="107" t="inlineStr">
        <is>
          <t>Closed</t>
        </is>
      </c>
      <c r="L45" s="107" t="inlineStr">
        <is>
          <t>2026-05-18</t>
        </is>
      </c>
      <c r="M45" s="107" t="inlineStr">
        <is>
          <t>2026-05-19</t>
        </is>
      </c>
      <c r="N45" s="107" t="inlineStr">
        <is>
          <t>Nile Production Support</t>
        </is>
      </c>
      <c r="O45" s="107" t="inlineStr">
        <is>
          <t>Unassigned</t>
        </is>
      </c>
      <c r="P45" s="107" t="inlineStr">
        <is>
          <t>Aryal, Neerajan</t>
        </is>
      </c>
      <c r="Q45" s="107" t="inlineStr">
        <is>
          <t>Resolved</t>
        </is>
      </c>
      <c r="R45" s="44" t="inlineStr">
        <is>
          <t>Hi, It Seems files are corrupted and tried rerunning the pipelines after respooling the file. Still facing the same issue. Received replacement files from client pipelines are running with replacement files Thanks All failed pipelines are completed</t>
        </is>
      </c>
      <c r="S45" s="107" t="inlineStr"/>
      <c r="T45" s="107" t="inlineStr"/>
      <c r="U45" s="107" t="inlineStr"/>
      <c r="V45" s="111" t="inlineStr">
        <is>
          <t>Pipeline Schedule</t>
        </is>
      </c>
      <c r="W45" s="107" t="inlineStr"/>
    </row>
    <row r="46">
      <c r="A46" s="109" t="inlineStr">
        <is>
          <t>IT-3063163</t>
        </is>
      </c>
      <c r="B46" s="109" t="inlineStr">
        <is>
          <t>IT-3063163</t>
        </is>
      </c>
      <c r="C46" s="109" t="inlineStr"/>
      <c r="D46" s="47" t="inlineStr">
        <is>
          <t>Spark3 Upgrade: Refactor the pipeline rca-gateway-DE-claim-History-Chhosp for Add_months function.</t>
        </is>
      </c>
      <c r="E46" s="47" t="inlineStr">
        <is>
          <t>Spark3 Upgrade: Refactor the pipeline mentioned below for Add_months function. name id latest_versions rca-gateway-DE-claim-History-Chhosp 2021-10-14-3992260 1</t>
        </is>
      </c>
      <c r="F46" s="47" t="inlineStr">
        <is>
          <t>I have verified the below code for spark 3 and tested in the dev envrionment.</t>
        </is>
      </c>
      <c r="G46" s="47" t="inlineStr"/>
      <c r="H46" s="109" t="inlineStr">
        <is>
          <t>Other</t>
        </is>
      </c>
      <c r="I46" s="109" t="inlineStr">
        <is>
          <t>Other</t>
        </is>
      </c>
      <c r="J46" s="109" t="inlineStr"/>
      <c r="K46" s="109" t="inlineStr">
        <is>
          <t>In Progress (HD1)</t>
        </is>
      </c>
      <c r="L46" s="109" t="inlineStr">
        <is>
          <t>2026-05-17</t>
        </is>
      </c>
      <c r="M46" s="109" t="inlineStr">
        <is>
          <t>2026-05-25</t>
        </is>
      </c>
      <c r="N46" s="109" t="inlineStr">
        <is>
          <t>Nile Production Support</t>
        </is>
      </c>
      <c r="O46" s="109" t="inlineStr">
        <is>
          <t>Unassigned</t>
        </is>
      </c>
      <c r="P46" s="109" t="inlineStr">
        <is>
          <t>Sundaramurthy, Ramyavadhana</t>
        </is>
      </c>
      <c r="Q46" s="109" t="inlineStr">
        <is>
          <t>Unresolved</t>
        </is>
      </c>
      <c r="R46" s="47" t="inlineStr">
        <is>
          <t>I have verified the below code for spark 3 and tested in the dev envrionment.</t>
        </is>
      </c>
      <c r="S46" s="109" t="inlineStr"/>
      <c r="T46" s="109" t="inlineStr"/>
      <c r="U46" s="109" t="inlineStr"/>
      <c r="V46" s="110" t="inlineStr">
        <is>
          <t>Other</t>
        </is>
      </c>
      <c r="W46" s="109" t="inlineStr">
        <is>
          <t>Yes</t>
        </is>
      </c>
    </row>
    <row r="47">
      <c r="A47" s="107" t="inlineStr">
        <is>
          <t>IT-3063162</t>
        </is>
      </c>
      <c r="B47" s="107" t="inlineStr">
        <is>
          <t>IT-3063162</t>
        </is>
      </c>
      <c r="C47" s="107" t="inlineStr"/>
      <c r="D47" s="44" t="inlineStr">
        <is>
          <t>Spark3 Upgrade: Refactor the pipeline RCCV-HighMark-HighMark-Claims for Add_months function.</t>
        </is>
      </c>
      <c r="E47" s="44" t="inlineStr">
        <is>
          <t>Spark3 Upgrade: Refactor the pipeline mentioned below for Add_months function. name id latest_versions RCCV-HighMark-HighMark-Claims 2021-02-04-84804431 2.12</t>
        </is>
      </c>
      <c r="F47" s="44" t="inlineStr"/>
      <c r="G47" s="44" t="inlineStr">
        <is>
          <t>Logic change is not required as we are hardcoding date value as 19</t>
        </is>
      </c>
      <c r="H47" s="107" t="inlineStr">
        <is>
          <t>Other</t>
        </is>
      </c>
      <c r="I47" s="107" t="inlineStr">
        <is>
          <t>Other</t>
        </is>
      </c>
      <c r="J47" s="107" t="inlineStr"/>
      <c r="K47" s="107" t="inlineStr">
        <is>
          <t>Closed</t>
        </is>
      </c>
      <c r="L47" s="107" t="inlineStr">
        <is>
          <t>2026-05-17</t>
        </is>
      </c>
      <c r="M47" s="107" t="inlineStr">
        <is>
          <t>2026-05-20</t>
        </is>
      </c>
      <c r="N47" s="107" t="inlineStr">
        <is>
          <t>Nile Production Support</t>
        </is>
      </c>
      <c r="O47" s="107" t="inlineStr">
        <is>
          <t>Unassigned</t>
        </is>
      </c>
      <c r="P47" s="107" t="inlineStr">
        <is>
          <t>Sundaramurthy, Ramyavadhana</t>
        </is>
      </c>
      <c r="Q47" s="107" t="inlineStr">
        <is>
          <t>Resolved</t>
        </is>
      </c>
      <c r="R47" s="44" t="inlineStr"/>
      <c r="S47" s="107" t="inlineStr"/>
      <c r="T47" s="107" t="inlineStr"/>
      <c r="U47" s="107" t="inlineStr"/>
      <c r="V47" s="113" t="inlineStr">
        <is>
          <t>Other</t>
        </is>
      </c>
      <c r="W47" s="107" t="inlineStr">
        <is>
          <t>Yes</t>
        </is>
      </c>
    </row>
    <row r="48">
      <c r="A48" s="109" t="inlineStr">
        <is>
          <t>IT-3063160</t>
        </is>
      </c>
      <c r="B48" s="109" t="inlineStr">
        <is>
          <t>IT-3063160</t>
        </is>
      </c>
      <c r="C48" s="109" t="inlineStr"/>
      <c r="D48" s="47" t="inlineStr">
        <is>
          <t>Spark3 Upgrade: Refactor the pipeline rca-highmark-highmark-claims-Prod for Add_months function.</t>
        </is>
      </c>
      <c r="E48" s="47" t="inlineStr">
        <is>
          <t>Spark3 Upgrade: Refactor the pipeline mentioned below for Add_months function. name id latest_versions rca-highmark-highmark-claims-Prod 2020-09-09-45624296 5.16</t>
        </is>
      </c>
      <c r="F48" s="47" t="inlineStr">
        <is>
          <t>Started looking in to the pipelines and understanding the logic to generate new spark3 logic.</t>
        </is>
      </c>
      <c r="G48" s="47" t="inlineStr"/>
      <c r="H48" s="109" t="inlineStr">
        <is>
          <t>Other</t>
        </is>
      </c>
      <c r="I48" s="109" t="inlineStr">
        <is>
          <t>Other</t>
        </is>
      </c>
      <c r="J48" s="109" t="inlineStr"/>
      <c r="K48" s="109" t="inlineStr">
        <is>
          <t>In Progress (HD1)</t>
        </is>
      </c>
      <c r="L48" s="109" t="inlineStr">
        <is>
          <t>2026-05-17</t>
        </is>
      </c>
      <c r="M48" s="109" t="inlineStr">
        <is>
          <t>2026-05-25</t>
        </is>
      </c>
      <c r="N48" s="109" t="inlineStr">
        <is>
          <t>Nile Production Support</t>
        </is>
      </c>
      <c r="O48" s="109" t="inlineStr">
        <is>
          <t>Unassigned</t>
        </is>
      </c>
      <c r="P48" s="109" t="inlineStr">
        <is>
          <t>Sundaramurthy, Ramyavadhana</t>
        </is>
      </c>
      <c r="Q48" s="109" t="inlineStr">
        <is>
          <t>Unresolved</t>
        </is>
      </c>
      <c r="R48" s="47" t="inlineStr">
        <is>
          <t>Started looking in to the pipelines and understanding the logic to generate new spark3 logic.</t>
        </is>
      </c>
      <c r="S48" s="109" t="inlineStr"/>
      <c r="T48" s="109" t="inlineStr"/>
      <c r="U48" s="109" t="inlineStr"/>
      <c r="V48" s="110" t="inlineStr">
        <is>
          <t>Other</t>
        </is>
      </c>
      <c r="W48" s="109" t="inlineStr">
        <is>
          <t>Yes</t>
        </is>
      </c>
    </row>
    <row r="49">
      <c r="A49" s="107" t="inlineStr">
        <is>
          <t>IT-3063158</t>
        </is>
      </c>
      <c r="B49" s="107" t="inlineStr">
        <is>
          <t>IT-3063158</t>
        </is>
      </c>
      <c r="C49" s="107" t="inlineStr"/>
      <c r="D49" s="44" t="inlineStr">
        <is>
          <t>Spark3 Upgrade: Refactor the pipeline rca-gateway-DE-claims-DataSpooler-No for Add_months function.</t>
        </is>
      </c>
      <c r="E49" s="44" t="inlineStr">
        <is>
          <t>Spark3 Upgrade: Refactor the pipeline mentioned below for Add_months function. name id latest_versions rca-gateway-DE-claims-DataSpooler-No 2021-01-20-53856390 1.9</t>
        </is>
      </c>
      <c r="F49" s="44" t="inlineStr"/>
      <c r="G49" s="44" t="inlineStr"/>
      <c r="H49" s="107" t="inlineStr">
        <is>
          <t>Other</t>
        </is>
      </c>
      <c r="I49" s="107" t="inlineStr">
        <is>
          <t>Other</t>
        </is>
      </c>
      <c r="J49" s="107" t="inlineStr"/>
      <c r="K49" s="107" t="inlineStr">
        <is>
          <t>Open</t>
        </is>
      </c>
      <c r="L49" s="107" t="inlineStr">
        <is>
          <t>2026-05-17</t>
        </is>
      </c>
      <c r="M49" s="107" t="inlineStr">
        <is>
          <t>2026-05-17</t>
        </is>
      </c>
      <c r="N49" s="107" t="inlineStr">
        <is>
          <t>Nile Production Support</t>
        </is>
      </c>
      <c r="O49" s="107" t="inlineStr">
        <is>
          <t>Unassigned</t>
        </is>
      </c>
      <c r="P49" s="107" t="inlineStr">
        <is>
          <t>Sundaramurthy, Ramyavadhana</t>
        </is>
      </c>
      <c r="Q49" s="107" t="inlineStr">
        <is>
          <t>Unresolved</t>
        </is>
      </c>
      <c r="R49" s="44" t="inlineStr"/>
      <c r="S49" s="107" t="inlineStr"/>
      <c r="T49" s="107" t="inlineStr"/>
      <c r="U49" s="107" t="inlineStr"/>
      <c r="V49" s="113" t="inlineStr">
        <is>
          <t>Other</t>
        </is>
      </c>
      <c r="W49" s="107" t="inlineStr">
        <is>
          <t>Yes</t>
        </is>
      </c>
    </row>
    <row r="50">
      <c r="A50" s="109" t="inlineStr">
        <is>
          <t>IT-3063156</t>
        </is>
      </c>
      <c r="B50" s="109" t="inlineStr">
        <is>
          <t>IT-3063156</t>
        </is>
      </c>
      <c r="C50" s="109" t="inlineStr"/>
      <c r="D50" s="47" t="inlineStr">
        <is>
          <t>Spark3 Upgrade: Refactor the pipeline rca_emblem_emblem_claims for Add_months function.</t>
        </is>
      </c>
      <c r="E50" s="47" t="inlineStr">
        <is>
          <t>Spark3 Upgrade: Refactor the pipeline mentioned below for Add_months function. name id latest_versions rca_emblem_emblem_claims 2021-05-24-85378485 3.9</t>
        </is>
      </c>
      <c r="F50" s="47" t="inlineStr">
        <is>
          <t>Pending peer review validation.</t>
        </is>
      </c>
      <c r="G50" s="47" t="inlineStr"/>
      <c r="H50" s="109" t="inlineStr">
        <is>
          <t>Other</t>
        </is>
      </c>
      <c r="I50" s="109" t="inlineStr">
        <is>
          <t>Other</t>
        </is>
      </c>
      <c r="J50" s="109" t="inlineStr"/>
      <c r="K50" s="109" t="inlineStr">
        <is>
          <t>On Hold</t>
        </is>
      </c>
      <c r="L50" s="109" t="inlineStr">
        <is>
          <t>2026-05-17</t>
        </is>
      </c>
      <c r="M50" s="109" t="inlineStr">
        <is>
          <t>2026-05-25</t>
        </is>
      </c>
      <c r="N50" s="109" t="inlineStr">
        <is>
          <t>Nile Production Support</t>
        </is>
      </c>
      <c r="O50" s="109" t="inlineStr">
        <is>
          <t>Unassigned</t>
        </is>
      </c>
      <c r="P50" s="109" t="inlineStr">
        <is>
          <t>Sundaramurthy, Ramyavadhana</t>
        </is>
      </c>
      <c r="Q50" s="109" t="inlineStr">
        <is>
          <t>Unresolved</t>
        </is>
      </c>
      <c r="R50" s="47" t="inlineStr">
        <is>
          <t>Pending peer review validation.</t>
        </is>
      </c>
      <c r="S50" s="109" t="inlineStr"/>
      <c r="T50" s="109" t="inlineStr"/>
      <c r="U50" s="109" t="inlineStr"/>
      <c r="V50" s="110" t="inlineStr">
        <is>
          <t>Other</t>
        </is>
      </c>
      <c r="W50" s="109" t="inlineStr">
        <is>
          <t>Yes</t>
        </is>
      </c>
    </row>
    <row r="51">
      <c r="A51" s="107" t="inlineStr">
        <is>
          <t>IT-3063154</t>
        </is>
      </c>
      <c r="B51" s="107" t="inlineStr">
        <is>
          <t>IT-3063154</t>
        </is>
      </c>
      <c r="C51" s="107" t="inlineStr"/>
      <c r="D51" s="44" t="inlineStr">
        <is>
          <t>Spark3 Upgrade: Refactor the pipeline rca_caresource_caresource_claims_fullrefresh_load for Add_months function.</t>
        </is>
      </c>
      <c r="E51" s="44" t="inlineStr">
        <is>
          <t>Spark3 Upgrade: Refactor the pipeline mentioned below for Add_months function. name id latest_versions rca_caresource_caresource_claims_fullrefresh_load 2022-12-18-130179160 1</t>
        </is>
      </c>
      <c r="F51" s="44" t="inlineStr"/>
      <c r="G51" s="44" t="inlineStr"/>
      <c r="H51" s="107" t="inlineStr">
        <is>
          <t>Other</t>
        </is>
      </c>
      <c r="I51" s="107" t="inlineStr">
        <is>
          <t>Other</t>
        </is>
      </c>
      <c r="J51" s="107" t="inlineStr"/>
      <c r="K51" s="107" t="inlineStr">
        <is>
          <t>Open</t>
        </is>
      </c>
      <c r="L51" s="107" t="inlineStr">
        <is>
          <t>2026-05-17</t>
        </is>
      </c>
      <c r="M51" s="107" t="inlineStr">
        <is>
          <t>2026-05-17</t>
        </is>
      </c>
      <c r="N51" s="107" t="inlineStr">
        <is>
          <t>Nile Production Support</t>
        </is>
      </c>
      <c r="O51" s="107" t="inlineStr">
        <is>
          <t>Unassigned</t>
        </is>
      </c>
      <c r="P51" s="107" t="inlineStr">
        <is>
          <t>Sundaramurthy, Ramyavadhana</t>
        </is>
      </c>
      <c r="Q51" s="107" t="inlineStr">
        <is>
          <t>Unresolved</t>
        </is>
      </c>
      <c r="R51" s="44" t="inlineStr"/>
      <c r="S51" s="107" t="inlineStr"/>
      <c r="T51" s="107" t="inlineStr"/>
      <c r="U51" s="107" t="inlineStr"/>
      <c r="V51" s="113" t="inlineStr">
        <is>
          <t>Other</t>
        </is>
      </c>
      <c r="W51" s="107" t="inlineStr">
        <is>
          <t>Yes</t>
        </is>
      </c>
    </row>
    <row r="52">
      <c r="A52" s="109" t="inlineStr">
        <is>
          <t>IT-3063153</t>
        </is>
      </c>
      <c r="B52" s="109" t="inlineStr">
        <is>
          <t>IT-3063153</t>
        </is>
      </c>
      <c r="C52" s="109" t="inlineStr"/>
      <c r="D52" s="47" t="inlineStr">
        <is>
          <t>Spark3 Upgrade: Refactor the pipeline rca_caresource_caresource_claims_incremental_load for Add_months function.</t>
        </is>
      </c>
      <c r="E52" s="47" t="inlineStr">
        <is>
          <t>Spark3 Upgrade: Refactor the pipeline mentioned below for Add_months function. name id latest_versions rca_caresource_caresource_claims_incremental_load 2021-04-14-23128344 2.9</t>
        </is>
      </c>
      <c r="F52" s="47" t="inlineStr"/>
      <c r="G52" s="47" t="inlineStr"/>
      <c r="H52" s="109" t="inlineStr">
        <is>
          <t>Other</t>
        </is>
      </c>
      <c r="I52" s="109" t="inlineStr">
        <is>
          <t>Other</t>
        </is>
      </c>
      <c r="J52" s="109" t="inlineStr"/>
      <c r="K52" s="109" t="inlineStr">
        <is>
          <t>Open</t>
        </is>
      </c>
      <c r="L52" s="109" t="inlineStr">
        <is>
          <t>2026-05-17</t>
        </is>
      </c>
      <c r="M52" s="109" t="inlineStr">
        <is>
          <t>2026-05-17</t>
        </is>
      </c>
      <c r="N52" s="109" t="inlineStr">
        <is>
          <t>Nile Production Support</t>
        </is>
      </c>
      <c r="O52" s="109" t="inlineStr">
        <is>
          <t>Unassigned</t>
        </is>
      </c>
      <c r="P52" s="109" t="inlineStr">
        <is>
          <t>Sundaramurthy, Ramyavadhana</t>
        </is>
      </c>
      <c r="Q52" s="109" t="inlineStr">
        <is>
          <t>Unresolved</t>
        </is>
      </c>
      <c r="R52" s="47" t="inlineStr"/>
      <c r="S52" s="109" t="inlineStr"/>
      <c r="T52" s="109" t="inlineStr"/>
      <c r="U52" s="109" t="inlineStr"/>
      <c r="V52" s="110" t="inlineStr">
        <is>
          <t>Other</t>
        </is>
      </c>
      <c r="W52" s="109" t="inlineStr">
        <is>
          <t>Yes</t>
        </is>
      </c>
    </row>
    <row r="53">
      <c r="A53" s="107" t="inlineStr">
        <is>
          <t>IT-3062685</t>
        </is>
      </c>
      <c r="B53" s="107" t="inlineStr">
        <is>
          <t>IT-3062685</t>
        </is>
      </c>
      <c r="C53" s="107" t="inlineStr"/>
      <c r="D53" s="44" t="inlineStr">
        <is>
          <t>ARD-Prod: Run the UhCsp dups pipeline for May - 2026 (pulling Apr - 2026 data) RCA Job</t>
        </is>
      </c>
      <c r="E53" s="44" t="inlineStr">
        <is>
          <t>ARD-Prod: Run the UhCsp dups pipeline for May - 2026 (pulling Apr - 2026 data) RCA Job</t>
        </is>
      </c>
      <c r="F53" s="44" t="inlineStr">
        <is>
          <t>Step 1 Updated the below parameters LoadDate=20260520 Min_Paid_Date=2026-04-01 Max_Paid_Date=2026-04-30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4870861-260504042830459-oozie-oozi-W Step 4 Job Completed QA checks are done. Send email to respective members</t>
        </is>
      </c>
      <c r="G53" s="44" t="inlineStr">
        <is>
          <t>Job Completed QA checks are done. Send email to respective members</t>
        </is>
      </c>
      <c r="H53" s="107" t="inlineStr">
        <is>
          <t>Other</t>
        </is>
      </c>
      <c r="I53" s="107" t="inlineStr">
        <is>
          <t>Other</t>
        </is>
      </c>
      <c r="J53" s="107" t="inlineStr"/>
      <c r="K53" s="107" t="inlineStr">
        <is>
          <t>Closed</t>
        </is>
      </c>
      <c r="L53" s="107" t="inlineStr">
        <is>
          <t>2026-05-16</t>
        </is>
      </c>
      <c r="M53" s="107" t="inlineStr">
        <is>
          <t>2026-05-21</t>
        </is>
      </c>
      <c r="N53" s="107" t="inlineStr">
        <is>
          <t>Nile Production Support</t>
        </is>
      </c>
      <c r="O53" s="107" t="inlineStr">
        <is>
          <t>Unassigned</t>
        </is>
      </c>
      <c r="P53" s="107" t="inlineStr">
        <is>
          <t>Birney, Kevin</t>
        </is>
      </c>
      <c r="Q53" s="107" t="inlineStr">
        <is>
          <t>Resolved</t>
        </is>
      </c>
      <c r="R53" s="44" t="inlineStr">
        <is>
          <t>Step 1 Updated the below parameters LoadDate=20260520 Min_Paid_Date=2026-04-01 Max_Paid_Date=2026-04-30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4870861-260504042830459-oozie-oozi-W Step 4 Job Completed QA checks are done. Send email to respective members</t>
        </is>
      </c>
      <c r="S53" s="107" t="inlineStr"/>
      <c r="T53" s="107" t="inlineStr"/>
      <c r="U53" s="107" t="inlineStr"/>
      <c r="V53" s="113" t="inlineStr">
        <is>
          <t>Other</t>
        </is>
      </c>
      <c r="W53" s="107" t="inlineStr">
        <is>
          <t>Yes</t>
        </is>
      </c>
    </row>
    <row r="54">
      <c r="A54" s="109" t="inlineStr">
        <is>
          <t>IT-3062684</t>
        </is>
      </c>
      <c r="B54" s="109" t="inlineStr">
        <is>
          <t>IT-3062684</t>
        </is>
      </c>
      <c r="C54" s="109" t="inlineStr"/>
      <c r="D54" s="47" t="inlineStr">
        <is>
          <t>ARD-Prod May - 2026 Humana Retro Process</t>
        </is>
      </c>
      <c r="E54" s="47" t="inlineStr">
        <is>
          <t>ARD-Prod May - 2026 Humana Retro Process</t>
        </is>
      </c>
      <c r="F54" s="47" t="inlineStr">
        <is>
          <t>Received Cotiviti Global Exclusion report for 202605. prepared below 3 files using the Exclusion Report. Provider_Exclusions_202605.txt Taxgroup_Exclusions_202605.txt Clinical_Path_Provider_Exclusions_202605.txt Updated the Properties file and ran the job Currently job is running job: 4870604-260504042830459-oozie-oozi-W https://usapardhdpm03.cotiviti.com:8888/hue/jobbrowser#!id=4870604-260504042830459-oozie-oozi-W Humana job completed for 202605. Created Retro TBA files and uploaded to T1 server for processing Raised Ticket to PC Team. https://jiraet.cotiviti.com/plugins/servlet/desk/portal/7/IT-3077308</t>
        </is>
      </c>
      <c r="G54" s="47" t="inlineStr"/>
      <c r="H54" s="109" t="inlineStr">
        <is>
          <t>Other</t>
        </is>
      </c>
      <c r="I54" s="109" t="inlineStr">
        <is>
          <t>Other</t>
        </is>
      </c>
      <c r="J54" s="109" t="inlineStr"/>
      <c r="K54" s="109" t="inlineStr">
        <is>
          <t>In Progress (HD1)</t>
        </is>
      </c>
      <c r="L54" s="109" t="inlineStr">
        <is>
          <t>2026-05-16</t>
        </is>
      </c>
      <c r="M54" s="109" t="inlineStr">
        <is>
          <t>2026-05-22</t>
        </is>
      </c>
      <c r="N54" s="109" t="inlineStr">
        <is>
          <t>Nile Production Support</t>
        </is>
      </c>
      <c r="O54" s="109" t="inlineStr">
        <is>
          <t>Unassigned</t>
        </is>
      </c>
      <c r="P54" s="109" t="inlineStr">
        <is>
          <t>Birney, Kevin</t>
        </is>
      </c>
      <c r="Q54" s="109" t="inlineStr">
        <is>
          <t>Unresolved</t>
        </is>
      </c>
      <c r="R54" s="47" t="inlineStr">
        <is>
          <t>Received Cotiviti Global Exclusion report for 202605. prepared below 3 files using the Exclusion Report. Provider_Exclusions_202605.txt Taxgroup_Exclusions_202605.txt Clinical_Path_Provider_Exclusions_202605.txt Updated the Properties file and ran the job Currently job is running job: 4870604-260504042830459-oozie-oozi-W https://usapardhdpm03.cotiviti.com:8888/hue/jobbrowser#!id=4870604-260504042830459-oozie-oozi-W Humana job completed for 202605. Created Retro TBA files and uploaded to T1 server for processing Raised Ticket to PC Team. https://jiraet.cotiviti.com/plugins/servlet/desk/portal/7/IT-3077308</t>
        </is>
      </c>
      <c r="S54" s="109" t="inlineStr"/>
      <c r="T54" s="109" t="inlineStr"/>
      <c r="U54" s="109" t="inlineStr"/>
      <c r="V54" s="110" t="inlineStr">
        <is>
          <t>Other</t>
        </is>
      </c>
      <c r="W54" s="109" t="inlineStr">
        <is>
          <t>Yes</t>
        </is>
      </c>
    </row>
    <row r="55">
      <c r="A55" s="107" t="inlineStr">
        <is>
          <t>IT-3062627</t>
        </is>
      </c>
      <c r="B55" s="107" t="inlineStr">
        <is>
          <t>IT-3062627</t>
        </is>
      </c>
      <c r="C55" s="107" t="inlineStr"/>
      <c r="D55" s="44" t="inlineStr">
        <is>
          <t>CEPMR Inpatient File Failure - 08/11/2025</t>
        </is>
      </c>
      <c r="E55" s="44" t="inlineStr">
        <is>
          <t>Below file failed to load with the following error; please check with the client and advise us further. File Processing Information: ---------------------------------------------------------------------------------------------------- File : cepmr_inpatient_incoming_8p.05-16-2026_1700 QA Status : FAILED Reason : FAILED - Excessive failed lines (~100%) QA Test Name: excessive_fails Pre/Post Run: 1 Result: FAILED - Excessive failed lines (~100%) The Run Results Log: PayerShort: CEPMR MemberId: C4025707201 DependentId: TaxId: 710236856 ProviderId: P100006195110055 ClaimId: Y300MCE26307 Error: LETTER_PLAN_CODE is blank PayerShort: CEPMR MemberId: C4101152401 DependentId: TaxId: 834538290 ProviderId: P100086256430006 ClaimId: Y350MCE27338 Error: LETTER_PLAN_CODE is blank CEPMR|T|1902|20260516|32|P TRAILER|32|20260516|045511 Sat May 16 17:00:18 EDT 2026 RECOMMENDATION COUNT (Claim) FAILS 2 Total Hits 0 PayerShort: CEPMR LETTER_PLAN_CODE is blank occurs 2 times</t>
        </is>
      </c>
      <c r="F55" s="44" t="inlineStr">
        <is>
          <t>Email ref: CEPMR Inpatient File Failure - 05/16/2025 We haven't received any response from the client. waiting response from the client.</t>
        </is>
      </c>
      <c r="G55" s="44" t="inlineStr"/>
      <c r="H55" s="107" t="inlineStr"/>
      <c r="I55" s="107" t="inlineStr"/>
      <c r="J55" s="107" t="inlineStr"/>
      <c r="K55" s="107" t="inlineStr">
        <is>
          <t>Awaiting User Info</t>
        </is>
      </c>
      <c r="L55" s="107" t="inlineStr">
        <is>
          <t>2026-05-16</t>
        </is>
      </c>
      <c r="M55" s="107" t="inlineStr">
        <is>
          <t>2026-05-19</t>
        </is>
      </c>
      <c r="N55" s="107" t="inlineStr">
        <is>
          <t>Nile Production Support</t>
        </is>
      </c>
      <c r="O55" s="107" t="inlineStr">
        <is>
          <t>Unassigned</t>
        </is>
      </c>
      <c r="P55" s="107" t="inlineStr">
        <is>
          <t>Mendu, Nikhil</t>
        </is>
      </c>
      <c r="Q55" s="107" t="inlineStr">
        <is>
          <t>Unresolved</t>
        </is>
      </c>
      <c r="R55" s="44" t="inlineStr">
        <is>
          <t>Email ref: CEPMR Inpatient File Failure - 05/16/2025 We haven't received any response from the client. waiting response from the client.</t>
        </is>
      </c>
      <c r="S55" s="107" t="inlineStr"/>
      <c r="T55" s="107" t="inlineStr"/>
      <c r="U55" s="107" t="inlineStr"/>
      <c r="V55" s="121" t="inlineStr">
        <is>
          <t>File Issue</t>
        </is>
      </c>
      <c r="W55" s="107" t="inlineStr"/>
    </row>
    <row r="56">
      <c r="A56" s="109" t="inlineStr">
        <is>
          <t>IT-3062438</t>
        </is>
      </c>
      <c r="B56" s="109" t="inlineStr">
        <is>
          <t>IT-3062438</t>
        </is>
      </c>
      <c r="C56" s="109" t="inlineStr"/>
      <c r="D56" s="47" t="inlineStr">
        <is>
          <t>OSCAR - History PROF file failed - 05/16/2026</t>
        </is>
      </c>
      <c r="E56" s="47" t="inlineStr">
        <is>
          <t>Hi @Nile Production Support, Following file failed with below error. Could you please look in to it. File : oscar_history_incoming_1.05-16-2026_0920 QA Status : FAILED Reason : FAILED - Excessive failed lines (~100%) QA Test Name: excessive_fails Pre/Post Run: 1 Result: FAILED - Excessive failed lines (~100%) The Run Results Log: PayerShort: OSCAR MemberId: * DependentId: TaxId: 133757370 ProviderId: 1063497451 ClaimId: Error: Lines exceed maximum of 999 OSCAR|H|1367|20260516|6687|R TRAILER|6687|20260516|091112 Sat May 16 09:20:13 EDT 2026 REASONCODE OCCURS(1) OCCURS(2) OCCURS(3) PayerShort: OSCAR Lines exceed maximum of 999 occurs 1 times</t>
        </is>
      </c>
      <c r="F56" s="47" t="inlineStr">
        <is>
          <t>I completed my primary analysis on this ticket and provided the details to the L1 team member. Amik or Sajan has raised a replacement file request. Once the new file arrives in the HDFS location, we will respool the files and initiate the pipeline. we successfully proceed the pipeline from our end.</t>
        </is>
      </c>
      <c r="G56" s="47" t="inlineStr">
        <is>
          <t>we successfully proceed the pipeline from our end.</t>
        </is>
      </c>
      <c r="H56" s="109" t="inlineStr"/>
      <c r="I56" s="109" t="inlineStr"/>
      <c r="J56" s="109" t="inlineStr"/>
      <c r="K56" s="109" t="inlineStr">
        <is>
          <t>Closed</t>
        </is>
      </c>
      <c r="L56" s="109" t="inlineStr">
        <is>
          <t>2026-05-16</t>
        </is>
      </c>
      <c r="M56" s="109" t="inlineStr">
        <is>
          <t>2026-05-25</t>
        </is>
      </c>
      <c r="N56" s="109" t="inlineStr">
        <is>
          <t>Nile Production Support</t>
        </is>
      </c>
      <c r="O56" s="109" t="inlineStr">
        <is>
          <t>Unassigned</t>
        </is>
      </c>
      <c r="P56" s="109" t="inlineStr">
        <is>
          <t>Gudala, Kumaraswamy</t>
        </is>
      </c>
      <c r="Q56" s="109" t="inlineStr">
        <is>
          <t>Closed</t>
        </is>
      </c>
      <c r="R56" s="47" t="inlineStr">
        <is>
          <t>I completed my primary analysis on this ticket and provided the details to the L1 team member. Amik or Sajan has raised a replacement file request. Once the new file arrives in the HDFS location, we will respool the files and initiate the pipeline. we successfully proceed the pipeline from our end.</t>
        </is>
      </c>
      <c r="S56" s="109" t="inlineStr"/>
      <c r="T56" s="109" t="inlineStr"/>
      <c r="U56" s="109" t="inlineStr"/>
      <c r="V56" s="120" t="inlineStr">
        <is>
          <t>Spooler issue</t>
        </is>
      </c>
      <c r="W56" s="109" t="inlineStr"/>
    </row>
    <row r="57">
      <c r="A57" s="107" t="inlineStr">
        <is>
          <t>IT-3062366</t>
        </is>
      </c>
      <c r="B57" s="107" t="inlineStr">
        <is>
          <t>IT-3062366</t>
        </is>
      </c>
      <c r="C57" s="107" t="inlineStr"/>
      <c r="D57" s="44" t="inlineStr">
        <is>
          <t>PREBC History Files Failure - 05/15/2026</t>
        </is>
      </c>
      <c r="E57" s="44" t="inlineStr">
        <is>
          <t>Pipelines: ppm-premera-bluecross-history_professional_claims_GDF2_2_CDF2_2_lean_ingestion ppm-premera-bluecross-history_institutional_claims_GDF2_2_CDF2_2_lean_ingestion File Processing Information: ---------------------------------------------------------------------------------------------------- File : prebc_history_incoming_1.05-15-2026_1910 QA Status : FAILED Reason : FAILED - Excessive failed lines (~100%) File Processing Information: ---------------------------------------------------------------------------------------------------- File : prebc_ophistory_incoming_1.05-15-2026_1910 QA Status : FAILED Reason : FAILED - Excessive failed lines (~100%)</t>
        </is>
      </c>
      <c r="F57" s="44" t="inlineStr">
        <is>
          <t>we found the issue and requested for replacement files. we successfully processed the pipelines and closed this ticket.</t>
        </is>
      </c>
      <c r="G57" s="44" t="inlineStr">
        <is>
          <t>we successfully processed the pipelines and closed this ticket.</t>
        </is>
      </c>
      <c r="H57" s="107" t="inlineStr">
        <is>
          <t>Other</t>
        </is>
      </c>
      <c r="I57" s="107" t="inlineStr">
        <is>
          <t>Other</t>
        </is>
      </c>
      <c r="J57" s="107" t="inlineStr"/>
      <c r="K57" s="107" t="inlineStr">
        <is>
          <t>Closed</t>
        </is>
      </c>
      <c r="L57" s="107" t="inlineStr">
        <is>
          <t>2026-05-16</t>
        </is>
      </c>
      <c r="M57" s="107" t="inlineStr">
        <is>
          <t>2026-05-19</t>
        </is>
      </c>
      <c r="N57" s="107" t="inlineStr">
        <is>
          <t>Nile Production Support</t>
        </is>
      </c>
      <c r="O57" s="107" t="inlineStr">
        <is>
          <t>Unassigned</t>
        </is>
      </c>
      <c r="P57" s="107" t="inlineStr">
        <is>
          <t>Limbu, Sajan</t>
        </is>
      </c>
      <c r="Q57" s="107" t="inlineStr">
        <is>
          <t>Resolved</t>
        </is>
      </c>
      <c r="R57" s="44" t="inlineStr">
        <is>
          <t>we found the issue and requested for replacement files. we successfully processed the pipelines and closed this ticket.</t>
        </is>
      </c>
      <c r="S57" s="107" t="inlineStr"/>
      <c r="T57" s="107" t="inlineStr"/>
      <c r="U57" s="107" t="inlineStr"/>
      <c r="V57" s="113" t="inlineStr">
        <is>
          <t>Other</t>
        </is>
      </c>
      <c r="W57" s="107" t="inlineStr">
        <is>
          <t>Yes</t>
        </is>
      </c>
    </row>
    <row r="58">
      <c r="A58" s="109" t="inlineStr">
        <is>
          <t>IT-3061834</t>
        </is>
      </c>
      <c r="B58" s="109" t="inlineStr">
        <is>
          <t>IT-3061834</t>
        </is>
      </c>
      <c r="C58" s="109" t="inlineStr"/>
      <c r="D58" s="47" t="inlineStr">
        <is>
          <t>Please ingest file 9-12 for tba professional tba Devoted Health.</t>
        </is>
      </c>
      <c r="E58" s="47" t="inlineStr">
        <is>
          <t>Hi Nile PS Triage team, Would you please take a look at the email from Matt Rholl (external- client Devoted)? Re: [EXTERNAL] Re: Daily: Missing - Devoted TBA File for 20260515 Usually for Professional tba, we only received 8 files. But this evening, Matt mentioned that there are 4 additional files (9-12) that also need to be processed: devoh_tba_professional_incoming_20260515_9.gz devoh_tba_professional_incoming_20260515_10.gz devoh_tba_professional_incoming_20260515_11.gz devoh_tba_professional_incoming_20260515_12.gz Can we make sure that file 9-12 also getting processed? Thank you for your help, melly</t>
        </is>
      </c>
      <c r="F58" s="47" t="inlineStr">
        <is>
          <t>Files are processed</t>
        </is>
      </c>
      <c r="G58" s="47" t="inlineStr">
        <is>
          <t>Files are processed</t>
        </is>
      </c>
      <c r="H58" s="109" t="inlineStr">
        <is>
          <t>Other</t>
        </is>
      </c>
      <c r="I58" s="109" t="inlineStr">
        <is>
          <t>Other</t>
        </is>
      </c>
      <c r="J58" s="109" t="inlineStr"/>
      <c r="K58" s="109" t="inlineStr">
        <is>
          <t>Closed</t>
        </is>
      </c>
      <c r="L58" s="109" t="inlineStr">
        <is>
          <t>2026-05-15</t>
        </is>
      </c>
      <c r="M58" s="109" t="inlineStr">
        <is>
          <t>2026-05-16</t>
        </is>
      </c>
      <c r="N58" s="109" t="inlineStr">
        <is>
          <t>Nile Production Support</t>
        </is>
      </c>
      <c r="O58" s="109" t="inlineStr">
        <is>
          <t>Unassigned</t>
        </is>
      </c>
      <c r="P58" s="109" t="inlineStr">
        <is>
          <t>Suryani, Melly</t>
        </is>
      </c>
      <c r="Q58" s="109" t="inlineStr">
        <is>
          <t>Resolved</t>
        </is>
      </c>
      <c r="R58" s="47" t="inlineStr">
        <is>
          <t>Files are processed</t>
        </is>
      </c>
      <c r="S58" s="109" t="inlineStr"/>
      <c r="T58" s="109" t="inlineStr"/>
      <c r="U58" s="109" t="inlineStr"/>
      <c r="V58" s="110" t="inlineStr">
        <is>
          <t>Other</t>
        </is>
      </c>
      <c r="W58" s="109" t="inlineStr">
        <is>
          <t>Yes</t>
        </is>
      </c>
    </row>
    <row r="59">
      <c r="A59" s="107" t="inlineStr">
        <is>
          <t>IT-3061734</t>
        </is>
      </c>
      <c r="B59" s="107" t="inlineStr">
        <is>
          <t>IT-3061734</t>
        </is>
      </c>
      <c r="C59" s="107" t="inlineStr"/>
      <c r="D59" s="44" t="inlineStr">
        <is>
          <t>Please process this replacement file chcmd_tba_professional_incoming_1_20260506a</t>
        </is>
      </c>
      <c r="E59" s="44" t="inlineStr">
        <is>
          <t>Hi Satish or Nile PS Triage, Can you please process this replacement file tonight and provide update to the email chain? Re: Community Health Choice- Test File Request Jira- 444094- CHCMD Production TBA File Error- chcmd_daily_incoming_1.05-06-2026_088 This is high visibility to the business and external client. Thanks in advance for your help melly</t>
        </is>
      </c>
      <c r="F59" s="44" t="inlineStr">
        <is>
          <t>We can assign this to Satish. This ticket was completed already (for tracking purposes). thx again Satish! melly</t>
        </is>
      </c>
      <c r="G59" s="44" t="inlineStr">
        <is>
          <t>pipeline completed</t>
        </is>
      </c>
      <c r="H59" s="107" t="inlineStr">
        <is>
          <t>Other</t>
        </is>
      </c>
      <c r="I59" s="107" t="inlineStr">
        <is>
          <t>Other</t>
        </is>
      </c>
      <c r="J59" s="107" t="inlineStr"/>
      <c r="K59" s="107" t="inlineStr">
        <is>
          <t>Closed</t>
        </is>
      </c>
      <c r="L59" s="107" t="inlineStr">
        <is>
          <t>2026-05-15</t>
        </is>
      </c>
      <c r="M59" s="107" t="inlineStr">
        <is>
          <t>2026-05-16</t>
        </is>
      </c>
      <c r="N59" s="107" t="inlineStr">
        <is>
          <t>Nile Production Support</t>
        </is>
      </c>
      <c r="O59" s="107" t="inlineStr">
        <is>
          <t>Unassigned</t>
        </is>
      </c>
      <c r="P59" s="107" t="inlineStr">
        <is>
          <t>Suryani, Melly</t>
        </is>
      </c>
      <c r="Q59" s="107" t="inlineStr">
        <is>
          <t>Resolved</t>
        </is>
      </c>
      <c r="R59" s="44" t="inlineStr">
        <is>
          <t>We can assign this to Satish. This ticket was completed already (for tracking purposes). thx again Satish! melly</t>
        </is>
      </c>
      <c r="S59" s="107" t="inlineStr"/>
      <c r="T59" s="107" t="inlineStr"/>
      <c r="U59" s="107" t="inlineStr"/>
      <c r="V59" s="113" t="inlineStr">
        <is>
          <t>Other</t>
        </is>
      </c>
      <c r="W59" s="107" t="inlineStr">
        <is>
          <t>Yes</t>
        </is>
      </c>
    </row>
    <row r="60">
      <c r="A60" s="109" t="inlineStr">
        <is>
          <t>IT-3061527</t>
        </is>
      </c>
      <c r="B60" s="109" t="inlineStr">
        <is>
          <t>IT-3061527</t>
        </is>
      </c>
      <c r="C60" s="109" t="inlineStr"/>
      <c r="D60" s="47" t="inlineStr">
        <is>
          <t>BCBS_LA Medadvantage Historical files</t>
        </is>
      </c>
      <c r="E60" s="47" t="inlineStr">
        <is>
          <t>hello, we got MA files for BCBS_LA that will need to get load. files are: Cotiviti_Providers_MA_260318.txt cotiviti_Enrollment_MA_260318.txt cotiviti_Claims_MA_260318.txt Please load to new tables: [BCBS_LADataRaw] . [dbo] . [PareoProviderMA_Hist] [BCBS_LADataRaw] . [dbo] . [PareoEnrollmentMA_Hist] [BCBS_LADataRaw] . [dbo] . [PareoClaimsMA_Hist]</t>
        </is>
      </c>
      <c r="F60" s="47" t="inlineStr"/>
      <c r="G60" s="47" t="inlineStr"/>
      <c r="H60" s="109" t="inlineStr">
        <is>
          <t>Other</t>
        </is>
      </c>
      <c r="I60" s="109" t="inlineStr">
        <is>
          <t>Other</t>
        </is>
      </c>
      <c r="J60" s="109" t="inlineStr"/>
      <c r="K60" s="109" t="inlineStr">
        <is>
          <t>In Progress (HD1)</t>
        </is>
      </c>
      <c r="L60" s="109" t="inlineStr">
        <is>
          <t>2026-05-15</t>
        </is>
      </c>
      <c r="M60" s="109" t="inlineStr">
        <is>
          <t>2026-05-15</t>
        </is>
      </c>
      <c r="N60" s="109" t="inlineStr">
        <is>
          <t>Nile Production Support</t>
        </is>
      </c>
      <c r="O60" s="109" t="inlineStr">
        <is>
          <t>Unassigned</t>
        </is>
      </c>
      <c r="P60" s="109" t="inlineStr">
        <is>
          <t>Cardona, Karyn</t>
        </is>
      </c>
      <c r="Q60" s="109" t="inlineStr">
        <is>
          <t>Unresolved</t>
        </is>
      </c>
      <c r="R60" s="47" t="inlineStr"/>
      <c r="S60" s="109" t="inlineStr"/>
      <c r="T60" s="109" t="inlineStr"/>
      <c r="U60" s="109" t="inlineStr"/>
      <c r="V60" s="110" t="inlineStr">
        <is>
          <t>Other</t>
        </is>
      </c>
      <c r="W60" s="109" t="inlineStr">
        <is>
          <t>Yes</t>
        </is>
      </c>
    </row>
    <row r="61">
      <c r="A61" s="107" t="inlineStr">
        <is>
          <t>IT-3061513</t>
        </is>
      </c>
      <c r="B61" s="107" t="inlineStr">
        <is>
          <t>IT-3061513</t>
        </is>
      </c>
      <c r="C61" s="107" t="inlineStr"/>
      <c r="D61" s="44" t="inlineStr">
        <is>
          <t>Copy files from Nile prod Raw path to Nile dev Raw path - UHC_UNETASO (Copy from 2024 to till date)</t>
        </is>
      </c>
      <c r="E61" s="44" t="inlineStr">
        <is>
          <t>Hi Team, We need data copy for UHC UNET ASO client from Prod to Dev. Once copied to dev the owner should be set to ‘svcpniledidevraw' and group should be set to 'devunrestricted’ and permission should be 750. Below are the list of files needed to copy from Prod to Dev - NILE PROD RAW PATH (SOURCE) : /dataingestionprod/raw/unrestricted/23-uhc-unetaso NILE DEV RAW PATH (TARGET) : /dataingestiondev/raw/unrestricted/23-uhc-unetaso please copy the below 3 files from 2024 to till date UNET_MBR_BEH_OUT_JAN25.txt.gz.pgp - Cadence of file 9,19,28TH of every month UNET_MBR_MED_OUT_JAN25.txt.gz.pgp - Cadence of file 9,19,28TH of every month unet_mbr_uhgee_out_apr25.txt.gz - Cadence of file - 20th of every month</t>
        </is>
      </c>
      <c r="F61" s="44" t="inlineStr">
        <is>
          <t>hI Satish, please find the correct source path : Nile prod raw path (Source): /dataingestionprod/raw/unrestricted/303-uhc-unet/ and I have attached the list of files that need to be copied Thank you again dataingestionprodrawunrestricted303_aso.txt /dataingestionprod/raw/unrestricted/303-uhc-unet/20240923/UNET_MBR_BEH_OUT_SEP24.txt.gz.pgp /dataingestionprod/raw/unrestricted/303-uhc-unet/20240923/UNET_MBR_MED_OUT_SEP24.txt.gz.pgp /dataingestionprod/raw/unrestricted/303-uhc-unet/20240930/UNET_MBR_BEH_OUT_SEP24.txt.gz.pgp /dataingestionprod/raw/unrestricted/303-uhc-unet/20240930/UNET_MBR_MED_OUT_SEP24.txt.gz.pgp /dataingestionprod/raw/unrestricted/303-uhc-unet/20241009/UNET_MBR_BEH_OUT_OCT24.txt.gz.pgp /dataingestionprod/raw/unrestricted/303-uhc-unet/20241009/UNET_MBR_MED_OUT_OCT24.txt.gz.pgp /dataingestionprod/raw/unrestricted/303-uhc-unet/20241021/UNET_MBR_BEH_OUT_OCT24.txt.gz.pgp /dataingestionprod/raw/unrestricted/303-uhc-unet/20241021/UNET_MBR_MED_OUT_OCT24.txt.gz.pgp /dataingestionprod/raw/unrestricted/303-uhc-unet/20241022/UNET_MBR_BEH_OUT_OCT24.txt.gz.pgp /dataingestionprod/raw/unrestricted/303-uhc-unet/20241022/UNET_MBR_MED_OUT_OCT24.txt.gz.pgp /dataingestionprod/raw/unrestricted/303-uhc-unet/20241028/UNET_MBR_BEH_OUT_OCT24.txt.gz.pgp /dataingestionprod/raw/unrestricted/303-uhc-unet/20241028/UNET_MBR_MED_OUT_OCT24.txt.gz.pgp /dataingestionprod/raw/unrestricted/303-uhc-unet/20241030/UNET_MBR_BEH_OUT_OCT24.txt.gz.pgp /dataingestionprod/raw/unrestricted/303-uhc-unet/20241030/UNET_MBR_MED_OUT_OCT24.txt.gz.pgp /dataingestionprod/raw/unrestricted/303-uhc-unet/20241109/UNET_MBR_BEH_OUT_NOV24.txt.gz.pgp /dataingestionprod/raw/unrestricted/303-uhc-unet/20241109/UNET_MBR_MED_OUT_NOV24.txt.gz.pgp /dataingestionprod/raw/unrestricted/303-uhc-unet/20241119/UNET_MBR_BEH_OUT_NOV24.txt.gz.pgp /dataingestionprod/raw/unrestricted/303-uhc-unet/20241119/UNET_MBR_MED_OUT_NOV24.txt.gz.pgp /dataingestionprod/raw/unrestricted/303-uhc-unet/20241130/UNET_MBR_BEH_OUT_NOV24.txt.gz.pgp /dataingestionprod/raw/unrestricted/303-uhc-unet/20241130/UNET_MBR_MED_OUT_NOV24.txt.gz.pgp /dataingestionprod/raw/unrestricted/303-uhc-unet/20241209/UNET_MBR_BEH_OUT_DEC24.txt.gz.pgp /dataingestionprod/raw/unrestricted/303-uhc-unet/20241209/UNET_MBR_MED_OUT_DEC24.txt.gz.pgp /dataingestionprod/raw/unrestricted/303-uhc-unet/20241219/UNET_MBR_BEH_OUT_DEC24.txt.gz.pgp /dataingestionprod/raw/unrestricted/303-uhc-unet/20241219/UNET_MBR_MED_OUT_DEC24.txt.gz.pgp /dataingestionprod/raw/unrestricted/303-uhc-unet/20241230/UNET_MBR_BEH_OUT_DEC24.txt.gz.pgp /dataingestionprod/raw/unrestricted/303-uhc-unet/20241230/UNET_MBR_MED_OUT_DEC24.txt.gz.pgp /dataingestionprod/raw/unrestricted/303-uhc-unet/20250103/UNET_MBR_BEH_OUT_DEC24.txt.gz.pgp /dataingestionprod/raw/unrestricted/303-uhc-unet/20250103/UNET_MBR_MED_OUT_DEC24.txt.gz.pgp /dataingestionprod/raw/unrestricted/303-uhc-unet/20250106/UNET_MBR_BEH_OUT_DEC24.txt.gz.pgp /dataingestionprod/raw/unrestricted/303-uhc-unet/20250109/UNET_MBR_BEH_OUT_JAN25.txt.gz.pgp /dataingestionprod/raw/unrestricted/303-uhc-unet/20250109/UNET_MBR_MED_OUT_JAN25.txt.gz.pgp /dataingestionprod/raw/unrestricted/303-uhc-unet/20250119/UNET_MBR_BEH_OUT_JAN25.txt.gz.pgp /dataingestionprod/raw/unrestricted/303-uhc-unet/20250119/UNET_MBR_MED_OUT_JAN25.txt.gz.pgp /dataingestionprod/raw/unrestricted/303-uhc-unet/20250130/UNET_MBR_BEH_OUT_JAN25.txt.gz.pgp /dataingestionprod/raw/unrestricted/303-uhc-unet/20250130/UNET_MBR_MED_OUT_JAN25.txt.gz.pgp /dataingestionprod/raw/unrestricted/303-uhc-unet/20250209/UNET_MBR_BEH_OUT_FEB25.txt.gz.pgp /dataingestionprod/raw/unrestricted/303-uhc-unet/20250209/UNET_MBR_MED_OUT_FEB25.txt.gz.pgp /dataingestionprod/raw/unrestricted/303-uhc-unet/20250219/UNET_MBR_BEH_OUT_FEB25.txt.gz.pgp /dataingestionprod/raw/unrestricted/303-uhc-unet/20250219/UNET_MBR_MED_OUT_FEB25.txt.gz.pgp /dataingestionprod/raw/unrestricted/303-uhc-unet/20250303/UNET_MBR_BEH_OUT_FEB25.txt.gz.pgp /dataingestionprod/raw/unrestricted/303-uhc-unet/20250303/UNET_MBR_MED_OUT_FEB25.txt.gz.pgp /dataingestionprod/raw/unrestricted/303-uhc-unet/20250305/UNET_MBR_BEH_OUT_FEB25.txt.gz.pgp /dataingestionprod/raw/unrestricted/303-uhc-unet/20250305/UNET_MBR_MED_OUT_FEB25.txt.gz.pgp /dataingestionprod/raw/unrestricted/303-uhc-unet/20250309/UNET_MBR_BEH_OUT_MAR25.txt.gz.pgp /dataingestionprod/raw/unrestricted/303-uhc-unet/20250309/UNET_MBR_MED_OUT_MAR25.txt.gz.pgp /dataingestionprod/raw/unrestricted/303-uhc-unet/20250319/UNET_MBR_BEH_OUT_FEB25.txt.gz.pgp /dataingestionprod/raw/unrestricted/303-uhc-unet/20250319/UNET_MBR_MED_OUT_FEB25.txt.gz.pgp /dataingestionprod/raw/unrestricted/303-uhc-unet/20250324/UNET_MBR_BEH_OUT_MAR25.txt.gz.pgp /dataingestionprod/raw/unrestricted/303-uhc-unet/20250324/UNET_MBR_MED_OUT_MAR25.txt.gz.pgp /dataingestionprod/raw/unrestricted/303-uhc-unet/20250331/UNET_MBR_BEH_OUT_MAR25.txt.gz.pgp /dataingestionprod/raw/unrestricted/303-uhc-unet/20250331/UNET_MBR_MED_OUT_MAR25.txt.gz.pgp /dataingestionprod/raw/unrestricted/303-uhc-unet/20260109/UNET_MBR_BEH_OUT_JAN26.txt.gz.pgp /dataingestionprod/raw/unrestricted/303-uhc-unet/20260109/UNET_MBR_MED_OUT_JAN26.txt.gz.pgp /dataingestionprod/raw/unrestricted/303-uhc-unet/20260126/UNET_MBR_BEH_OUT_JAN26.txt.gz.pgp /dataingestionprod/raw/unrestricted/303-uhc-unet/20260126/UNET_MBR_MED_OUT_JAN26.txt.gz.pgp /dataingestionprod/raw/unrestricted/303-uhc-unet/20260128/UNET_MBR_BEH_OUT_JAN26.txt.gz.pgp /dataingestionprod/raw/unrestricted/303-uhc-unet/20260128/UNET_MBR_MED_OUT_JAN26.txt.gz.pgp /dataingestionprod/raw/unrestricted/303-uhc-unet/20260209/UNET_MBR_BEH_OUT_FEB26.txt.gz.pgp /dataingestionprod/raw/unrestricted/303-uhc-unet/20260209/UNET_MBR_MED_OUT_FEB26.txt.gz.pgp /dataingestionprod/raw/unrestricted/303-uhc-unet/202502/HIST_UNET_MBR_UHGEE_OUT_HIST_FEB25.txt.gz /dataingestionprod/raw/unrestricted/303-uhc-unet/202502/UNET_MBR_UHGEE_OUT_FEB25.txt.gz /dataingestionprod/raw/unrestricted/303-uhc-unet/202503/UNET_MBR_UHGEE_OUT_MAR25.txt.gz /dataingestionprod/raw/unrestricted/303-uhc-unet/20260213/UNET_MBR_UHGEE_OUT_FEB26.txt.gz /dataingestionprod/raw/unrestricted/303-uhc-unet/20260128/UNET_MBR_UHGEE_OUT_JAN26.txt.gz /dataingestionprod/raw/unrestricted/303-uhc-unet/20260119/UNET_MBR_UHGEE_OUT_JAN26.txt.gz /dataingestionprod/raw/unrestricted/303-uhc-unet/20260119/UNET_MBR_UHGEE_OUT_JAN26.txt.gz /dataingestionprod/raw/unrestricted/303-uhc-unet/20260108/UNET_MBR_UHGEE_OUT_JAN26.txt.gz /dataingestionprod/raw/unrestricted/303-uhc-unet/202507/UNET_DETAIL_REVENUE_FI_OUT_JUL25.txt.gz.pgp /dataingestionprod/raw/unrestricted/303-uhc-unet/202508/UNET_DETAIL_REVENUE_FI_OUT_AUG25.txt.gz.pgp /dataingestionprod/raw/unrestricted/303-uhc-unet/202509/UNET_DETAIL_REVENUE_FI_OUT_SEP25.txt.gz.pgp /dataingestionprod/raw/unrestricted/303-uhc-unet/202510/UNET_DETAIL_REVENUE_FI_OUT_OCT25.txt.gz.pgp /dataingestionprod/raw/unrestricted/303-uhc-unet/202511/UNET_DETAIL_REVENUE_FI_OUT_NOV25.txt.gz.pgp /dataingestionprod/raw/unrestricted/303-uhc-unet/202512/UNET_DETAIL_REVENUE_FI_OUT_DEC25.txt.gz.pgp /dataingestionprod/raw/unrestricted/303-uhc-unet/202601/UNET_DETAIL_REVENUE_FI_OUT_JAN26.txt.gz.pgp /dataingestionprod/raw/unrestricted/303-uhc-unet/202602/UNET_DETAIL_REVENUE_FI_OUT_FEB26.txt.gz.pgp Hi Rajpurohit, Neelam most of the files are already exist in the target path Ramaining files are copied and updated permissions Thanks Satish Devatha</t>
        </is>
      </c>
      <c r="G61" s="44" t="inlineStr">
        <is>
          <t>most of the files are already exist in the target path Remaining files are copied and updated permissions</t>
        </is>
      </c>
      <c r="H61" s="107" t="inlineStr">
        <is>
          <t>Other</t>
        </is>
      </c>
      <c r="I61" s="107" t="inlineStr">
        <is>
          <t>Other</t>
        </is>
      </c>
      <c r="J61" s="107" t="inlineStr"/>
      <c r="K61" s="107" t="inlineStr">
        <is>
          <t>Closed</t>
        </is>
      </c>
      <c r="L61" s="107" t="inlineStr">
        <is>
          <t>2026-05-15</t>
        </is>
      </c>
      <c r="M61" s="107" t="inlineStr">
        <is>
          <t>2026-05-18</t>
        </is>
      </c>
      <c r="N61" s="107" t="inlineStr">
        <is>
          <t>Nile Production Support</t>
        </is>
      </c>
      <c r="O61" s="107" t="inlineStr">
        <is>
          <t>Unassigned</t>
        </is>
      </c>
      <c r="P61" s="107" t="inlineStr">
        <is>
          <t>Rajpurohit, Neelam</t>
        </is>
      </c>
      <c r="Q61" s="107" t="inlineStr">
        <is>
          <t>Resolved</t>
        </is>
      </c>
      <c r="R61" s="44" t="inlineStr">
        <is>
          <t>hI Satish, please find the correct source path : Nile prod raw path (Source): /dataingestionprod/raw/unrestricted/303-uhc-unet/ and I have attached the list of files that need to be copied Thank you again dataingestionprodrawunrestricted303_aso.txt /dataingestionprod/raw/unrestricted/303-uhc-unet/20240923/UNET_MBR_BEH_OUT_SEP24.txt.gz.pgp /dataingestionprod/raw/unrestricted/303-uhc-unet/20240923/UNET_MBR_MED_OUT_SEP24.txt.gz.pgp /dataingestionprod/raw/unrestricted/303-uhc-unet/20240930/UNET_MBR_BEH_OUT_SEP24.txt.gz.pgp /dataingestionprod/raw/unrestricted/303-uhc-unet/20240930/UNET_MBR_MED_OUT_SEP24.txt.gz.pgp /dataingestionprod/raw/unrestricted/303-uhc-unet/20241009/UNET_MBR_BEH_OUT_OCT24.txt.gz.pgp /dataingestionprod/raw/unrestricted/303-uhc-unet/20241009/UNET_MBR_MED_OUT_OCT24.txt.gz.pgp /dataingestionprod/raw/unrestricted/303-uhc-unet/20241021/UNET_MBR_BEH_OUT_OCT24.txt.gz.pgp /dataingestionprod/raw/unrestricted/303-uhc-unet/20241021/UNET_MBR_MED_OUT_OCT24.txt.gz.pgp /dataingestionprod/raw/unrestricted/303-uhc-unet/20241022/UNET_MBR_BEH_OUT_OCT24.txt.gz.pgp /dataingestionprod/raw/unrestricted/303-uhc-unet/20241022/UNET_MBR_MED_OUT_OCT24.txt.gz.pgp /dataingestionprod/raw/unrestricted/303-uhc-unet/20241028/UNET_MBR_BEH_OUT_OCT24.txt.gz.pgp /dataingestionprod/raw/unrestricted/303-uhc-unet/20241028/UNET_MBR_MED_OUT_OCT24.txt.gz.pgp /dataingestionprod/raw/unrestricted/303-uhc-unet/20241030/UNET_MBR_BEH_OUT_OCT24.txt.gz.pgp /dataingestionprod/raw/unrestricted/303-uhc-unet/20241030/UNET_MBR_MED_OUT_OCT24.txt.gz.pgp /dataingestionprod/raw/unrestricted/303-uhc-unet/20241109/UNET_MBR_BEH_OUT_NOV24.txt.gz.pgp /dataingestionprod/raw/unrestricted/303-uhc-unet/20241109/UNET_MBR_MED_OUT_NOV24.txt.gz.pgp /dataingestionprod/raw/unrestricted/303-uhc-unet/20241119/UNET_MBR_BEH_OUT_NOV24.txt.gz.pgp /dataingestionprod/raw/unrestricted/303-uhc-unet/20241119/UNET_MBR_MED_OUT_NOV24.txt.gz.pgp /dataingestionprod/raw/unrestricted/303-uhc-unet/20241130/UNET_MBR_BEH_OUT_NOV24.txt.gz.pgp /dataingestionprod/raw/unrestricted/303-uhc-unet/20241130/UNET_MBR_MED_OUT_NOV24.txt.gz.pgp /dataingestionprod/raw/unrestricted/303-uhc-unet/20241209/UNET_MBR_BEH_OUT_DEC24.txt.gz.pgp /dataingestionprod/raw/unrestricted/303-uhc-unet/20241209/UNET_MBR_MED_OUT_DEC24.txt.gz.pgp /dataingestionprod/raw/unrestricted/303-uhc-unet/20241219/UNET_MBR_BEH_OUT_DEC24.txt.gz.pgp /dataingestionprod/raw/unrestricted/303-uhc-unet/20241219/UNET_MBR_MED_OUT_DEC24.txt.gz.pgp /dataingestionprod/raw/unrestricted/303-uhc-unet/20241230/UNET_MBR_BEH_OUT_DEC24.txt.gz.pgp /dataingestionprod/raw/unrestricted/303-uhc-unet/20241230/UNET_MBR_MED_OUT_DEC24.txt.gz.pgp /dataingestionprod/raw/unrestricted/303-uhc-unet/20250103/UNET_MBR_BEH_OUT_DEC24.txt.gz.pgp /dataingestionprod/raw/unrestricted/303-uhc-unet/20250103/UNET_MBR_MED_OUT_DEC24.txt.gz.pgp /dataingestionprod/raw/unrestricted/303-uhc-unet/20250106/UNET_MBR_BEH_OUT_DEC24.txt.gz.pgp /dataingestionprod/raw/unrestricted/303-uhc-unet/20250109/UNET_MBR_BEH_OUT_JAN25.txt.gz.pgp /dataingestionprod/raw/unrestricted/303-uhc-unet/20250109/UNET_MBR_MED_OUT_JAN25.txt.gz.pgp /dataingestionprod/raw/unrestricted/303-uhc-unet/20250119/UNET_MBR_BEH_OUT_JAN25.txt.gz.pgp /dataingestionprod/raw/unrestricted/303-uhc-unet/20250119/UNET_MBR_MED_OUT_JAN25.txt.gz.pgp /dataingestionprod/raw/unrestricted/303-uhc-unet/20250130/UNET_MBR_BEH_OUT_JAN25.txt.gz.pgp /dataingestionprod/raw/unrestricted/303-uhc-unet/20250130/UNET_MBR_MED_OUT_JAN25.txt.gz.pgp /dataingestionprod/raw/unrestricted/303-uhc-unet/20250209/UNET_MBR_BEH_OUT_FEB25.txt.gz.pgp /dataingestionprod/raw/unrestricted/303-uhc-unet/20250209/UNET_MBR_MED_OUT_FEB25.txt.gz.pgp /dataingestionprod/raw/unrestricted/303-uhc-unet/20250219/UNET_MBR_BEH_OUT_FEB25.txt.gz.pgp /dataingestionprod/raw/unrestricted/303-uhc-unet/20250219/UNET_MBR_MED_OUT_FEB25.txt.gz.pgp /dataingestionprod/raw/unrestricted/303-uhc-unet/20250303/UNET_MBR_BEH_OUT_FEB25.txt.gz.pgp /dataingestionprod/raw/unrestricted/303-uhc-unet/20250303/UNET_MBR_MED_OUT_FEB25.txt.gz.pgp /dataingestionprod/raw/unrestricted/303-uhc-unet/20250305/UNET_MBR_BEH_OUT_FEB25.txt.gz.pgp /dataingestionprod/raw/unrestricted/303-uhc-unet/20250305/UNET_MBR_MED_OUT_FEB25.txt.gz.pgp /dataingestionprod/raw/unrestricted/303-uhc-unet/20250309/UNET_MBR_BEH_OUT_MAR25.txt.gz.pgp /dataingestionprod/raw/unrestricted/303-uhc-unet/20250309/UNET_MBR_MED_OUT_MAR25.txt.gz.pgp /dataingestionprod/raw/unrestricted/303-uhc-unet/20250319/UNET_MBR_BEH_OUT_FEB25.txt.gz.pgp /dataingestionprod/raw/unrestricted/303-uhc-unet/20250319/UNET_MBR_MED_OUT_FEB25.txt.gz.pgp /dataingestionprod/raw/unrestricted/303-uhc-unet/20250324/UNET_MBR_BEH_OUT_MAR25.txt.gz.pgp /dataingestionprod/raw/unrestricted/303-uhc-unet/20250324/UNET_MBR_MED_OUT_MAR25.txt.gz.pgp /dataingestionprod/raw/unrestricted/303-uhc-unet/20250331/UNET_MBR_BEH_OUT_MAR25.txt.gz.pgp /dataingestionprod/raw/unrestricted/303-uhc-unet/20250331/UNET_MBR_MED_OUT_MAR25.txt.gz.pgp /dataingestionprod/raw/unrestricted/303-uhc-unet/20260109/UNET_MBR_BEH_OUT_JAN26.txt.gz.pgp /dataingestionprod/raw/unrestricted/303-uhc-unet/20260109/UNET_MBR_MED_OUT_JAN26.txt.gz.pgp /dataingestionprod/raw/unrestricted/303-uhc-unet/20260126/UNET_MBR_BEH_OUT_JAN26.txt.gz.pgp /dataingestionprod/raw/unrestricted/303-uhc-unet/20260126/UNET_MBR_MED_OUT_JAN26.txt.gz.pgp /dataingestionprod/raw/unrestricted/303-uhc-unet/20260128/UNET_MBR_BEH_OUT_JAN26.txt.gz.pgp /dataingestionprod/raw/unrestricted/303-uhc-unet/20260128/UNET_MBR_MED_OUT_JAN26.txt.gz.pgp /dataingestionprod/raw/unrestricted/303-uhc-unet/20260209/UNET_MBR_BEH_OUT_FEB26.txt.gz.pgp /dataingestionprod/raw/unrestricted/303-uhc-unet/20260209/UNET_MBR_MED_OUT_FEB26.txt.gz.pgp /dataingestionprod/raw/unrestricted/303-uhc-unet/202502/HIST_UNET_MBR_UHGEE_OUT_HIST_FEB25.txt.gz /dataingestionprod/raw/unrestricted/303-uhc-unet/202502/UNET_MBR_UHGEE_OUT_FEB25.txt.gz /dataingestionprod/raw/unrestricted/303-uhc-unet/202503/UNET_MBR_UHGEE_OUT_MAR25.txt.gz /dataingestionprod/raw/unrestricted/303-uhc-unet/20260213/UNET_MBR_UHGEE_OUT_FEB26.txt.gz /dataingestionprod/raw/unrestricted/303-uhc-unet/20260128/UNET_MBR_UHGEE_OUT_JAN26.txt.gz /dataingestionprod/raw/unrestricted/303-uhc-unet/20260119/UNET_MBR_UHGEE_OUT_JAN26.txt.gz /dataingestionprod/raw/unrestricted/303-uhc-unet/20260119/UNET_MBR_UHGEE_OUT_JAN26.txt.gz /dataingestionprod/raw/unrestricted/303-uhc-unet/20260108/UNET_MBR_UHGEE_OUT_JAN26.txt.gz /dataingestionprod/raw/unrestricted/303-uhc-unet/202507/UNET_DETAIL_REVENUE_FI_OUT_JUL25.txt.gz.pgp /dataingestionprod/raw/unrestricted/303-uhc-unet/202508/UNET_DETAIL_REVENUE_FI_OUT_AUG25.txt.gz.pgp /dataingestionprod/raw/unrestricted/303-uhc-unet/202509/UNET_DETAIL_REVENUE_FI_OUT_SEP25.txt.gz.pgp /dataingestionprod/raw/unrestricted/303-uhc-unet/202510/UNET_DETAIL_REVENUE_FI_OUT_OCT25.txt.gz.pgp /dataingestionprod/raw/unrestricted/303-uhc-unet/202511/UNET_DETAIL_REVENUE_FI_OUT_NOV25.txt.gz.pgp /dataingestionprod/raw/unrestricted/303-uhc-unet/202512/UNET_DETAIL_REVENUE_FI_OUT_DEC25.txt.gz.pgp /dataingestionprod/raw/unrestricted/303-uhc-unet/202601/UNET_DETAIL_REVENUE_FI_OUT_JAN26.txt.gz.pgp /dataingestionprod/raw/unrestricted/303-uhc-unet/202602/UNET_DETAIL_REVENUE_FI_OUT_FEB26.txt.gz.pgp Hi Rajpurohit, Neelam most of the files are already exist in the target path Ramaining files are copied and updated permissions Thanks Satish Devatha</t>
        </is>
      </c>
      <c r="S61" s="107" t="inlineStr"/>
      <c r="T61" s="107" t="inlineStr"/>
      <c r="U61" s="107" t="inlineStr"/>
      <c r="V61" s="113" t="inlineStr">
        <is>
          <t>Other</t>
        </is>
      </c>
      <c r="W61" s="107" t="inlineStr">
        <is>
          <t>Yes</t>
        </is>
      </c>
    </row>
    <row r="62">
      <c r="A62" s="109" t="inlineStr">
        <is>
          <t>IT-3061293</t>
        </is>
      </c>
      <c r="B62" s="109" t="inlineStr">
        <is>
          <t>IT-3061293</t>
        </is>
      </c>
      <c r="C62" s="109" t="inlineStr"/>
      <c r="D62" s="47" t="inlineStr">
        <is>
          <t>Updated File Processing Schedule for BCBSAZ</t>
        </is>
      </c>
      <c r="E62" s="47" t="inlineStr">
        <is>
          <t>Hi, Please update the TBA file processing schedule for BCBSAZ as follows: Monday-Friday 10:00PM (if mass is small and completes prior to midnight) to 4:30AM (if mass runs longer) ARIZONA time Escalation time will be remain the same (10:30 AM Arizona time)</t>
        </is>
      </c>
      <c r="F62" s="47" t="inlineStr">
        <is>
          <t>Requested customer to send the latest file for uploading the escalation document in sharepoint. Details recorded in Inventory. waiting for the updated escalation plan document.</t>
        </is>
      </c>
      <c r="G62" s="47" t="inlineStr"/>
      <c r="H62" s="109" t="inlineStr"/>
      <c r="I62" s="109" t="inlineStr"/>
      <c r="J62" s="109" t="inlineStr"/>
      <c r="K62" s="109" t="inlineStr">
        <is>
          <t>Awaiting User Info</t>
        </is>
      </c>
      <c r="L62" s="109" t="inlineStr">
        <is>
          <t>2026-05-15</t>
        </is>
      </c>
      <c r="M62" s="109" t="inlineStr">
        <is>
          <t>2026-05-18</t>
        </is>
      </c>
      <c r="N62" s="109" t="inlineStr">
        <is>
          <t>Nile Production Support</t>
        </is>
      </c>
      <c r="O62" s="109" t="inlineStr">
        <is>
          <t>Unassigned</t>
        </is>
      </c>
      <c r="P62" s="109" t="inlineStr">
        <is>
          <t>Greene, Haley</t>
        </is>
      </c>
      <c r="Q62" s="109" t="inlineStr">
        <is>
          <t>Unresolved</t>
        </is>
      </c>
      <c r="R62" s="47" t="inlineStr">
        <is>
          <t>Requested customer to send the latest file for uploading the escalation document in sharepoint. Details recorded in Inventory. waiting for the updated escalation plan document.</t>
        </is>
      </c>
      <c r="S62" s="109" t="inlineStr"/>
      <c r="T62" s="109" t="inlineStr"/>
      <c r="U62" s="109" t="inlineStr"/>
      <c r="V62" s="112" t="inlineStr">
        <is>
          <t>Pipeline Schedule</t>
        </is>
      </c>
      <c r="W62" s="109" t="inlineStr"/>
    </row>
    <row r="63">
      <c r="A63" s="107" t="inlineStr">
        <is>
          <t>IT-3060697</t>
        </is>
      </c>
      <c r="B63" s="107" t="inlineStr">
        <is>
          <t>IT-3060697</t>
        </is>
      </c>
      <c r="C63" s="107" t="inlineStr"/>
      <c r="D63" s="44" t="inlineStr">
        <is>
          <t>oscar_history_incoming_1.05-15-2026_1005 QA Status : FAILED - Excessive failed lines (~100%)</t>
        </is>
      </c>
      <c r="E63" s="44" t="inlineStr">
        <is>
          <t>oscar_history_incoming_1.05-15-2026_1005 QA Status : FAILED Reason : FAILED - Excessive failed lines (~100%)</t>
        </is>
      </c>
      <c r="F63" s="44" t="inlineStr"/>
      <c r="G63" s="44" t="inlineStr"/>
      <c r="H63" s="107" t="inlineStr"/>
      <c r="I63" s="107" t="inlineStr"/>
      <c r="J63" s="107" t="inlineStr"/>
      <c r="K63" s="107" t="inlineStr">
        <is>
          <t>Active</t>
        </is>
      </c>
      <c r="L63" s="107" t="inlineStr">
        <is>
          <t>2026-05-15</t>
        </is>
      </c>
      <c r="M63" s="107" t="inlineStr">
        <is>
          <t>2026-05-15</t>
        </is>
      </c>
      <c r="N63" s="107" t="inlineStr">
        <is>
          <t>Nile Production Support</t>
        </is>
      </c>
      <c r="O63" s="107" t="inlineStr">
        <is>
          <t>Unassigned</t>
        </is>
      </c>
      <c r="P63" s="107" t="inlineStr">
        <is>
          <t>Bohannon, Stevin</t>
        </is>
      </c>
      <c r="Q63" s="107" t="inlineStr">
        <is>
          <t>Unresolved</t>
        </is>
      </c>
      <c r="R63" s="44" t="inlineStr"/>
      <c r="S63" s="107" t="inlineStr"/>
      <c r="T63" s="107" t="inlineStr"/>
      <c r="U63" s="107" t="inlineStr"/>
      <c r="V63" s="113" t="inlineStr">
        <is>
          <t>Other</t>
        </is>
      </c>
      <c r="W63" s="107" t="inlineStr">
        <is>
          <t>Yes</t>
        </is>
      </c>
    </row>
    <row r="64">
      <c r="A64" s="109" t="inlineStr">
        <is>
          <t>IT-3060675</t>
        </is>
      </c>
      <c r="B64" s="109" t="inlineStr">
        <is>
          <t>IT-3060675</t>
        </is>
      </c>
      <c r="C64" s="109" t="inlineStr"/>
      <c r="D64" s="47" t="inlineStr">
        <is>
          <t>QC Client Cignamedicare Facets OLA Setup</t>
        </is>
      </c>
      <c r="E64" s="47" t="inlineStr">
        <is>
          <t>QC Client Cignamedicare Facets OLA Setup</t>
        </is>
      </c>
      <c r="F64" s="47" t="inlineStr"/>
      <c r="G64" s="47" t="inlineStr">
        <is>
          <t>OLA Set up done.</t>
        </is>
      </c>
      <c r="H64" s="109" t="inlineStr">
        <is>
          <t>Other</t>
        </is>
      </c>
      <c r="I64" s="109" t="inlineStr">
        <is>
          <t>Other</t>
        </is>
      </c>
      <c r="J64" s="109" t="inlineStr"/>
      <c r="K64" s="109" t="inlineStr">
        <is>
          <t>Closed</t>
        </is>
      </c>
      <c r="L64" s="109" t="inlineStr">
        <is>
          <t>2026-05-15</t>
        </is>
      </c>
      <c r="M64" s="109" t="inlineStr">
        <is>
          <t>2026-05-15</t>
        </is>
      </c>
      <c r="N64" s="109" t="inlineStr">
        <is>
          <t>Nile Production Support</t>
        </is>
      </c>
      <c r="O64" s="109" t="inlineStr">
        <is>
          <t>Unassigned</t>
        </is>
      </c>
      <c r="P64" s="109" t="inlineStr">
        <is>
          <t>Jani, Shaik</t>
        </is>
      </c>
      <c r="Q64" s="109" t="inlineStr">
        <is>
          <t>Resolved</t>
        </is>
      </c>
      <c r="R64" s="47" t="inlineStr"/>
      <c r="S64" s="109" t="inlineStr"/>
      <c r="T64" s="109" t="inlineStr"/>
      <c r="U64" s="109" t="inlineStr"/>
      <c r="V64" s="118" t="inlineStr">
        <is>
          <t>Configuration Issue</t>
        </is>
      </c>
      <c r="W64" s="109" t="inlineStr"/>
    </row>
    <row r="65">
      <c r="A65" s="107" t="inlineStr">
        <is>
          <t>IT-3060672</t>
        </is>
      </c>
      <c r="B65" s="107" t="inlineStr">
        <is>
          <t>IT-3060672</t>
        </is>
      </c>
      <c r="C65" s="107" t="inlineStr"/>
      <c r="D65" s="44" t="inlineStr">
        <is>
          <t>Update Centene PCCV Pipeline for multiple files</t>
        </is>
      </c>
      <c r="E65" s="44" t="inlineStr">
        <is>
          <t>Please update pipeline so that they are prepared to handle up to 24 files per day for all Centene prepay payer shorts. Files should increment as needed.</t>
        </is>
      </c>
      <c r="F65" s="44" t="inlineStr">
        <is>
          <t>Change implemented pipelines are running fine Thanks Satish Devatha</t>
        </is>
      </c>
      <c r="G65" s="44" t="inlineStr">
        <is>
          <t>Change implemented pipelines are running fine Thanks Satish Devatha</t>
        </is>
      </c>
      <c r="H65" s="107" t="inlineStr">
        <is>
          <t>Other</t>
        </is>
      </c>
      <c r="I65" s="107" t="inlineStr">
        <is>
          <t>Other</t>
        </is>
      </c>
      <c r="J65" s="107" t="inlineStr"/>
      <c r="K65" s="107" t="inlineStr">
        <is>
          <t>Closed</t>
        </is>
      </c>
      <c r="L65" s="107" t="inlineStr">
        <is>
          <t>2026-05-15</t>
        </is>
      </c>
      <c r="M65" s="107" t="inlineStr">
        <is>
          <t>2026-05-18</t>
        </is>
      </c>
      <c r="N65" s="107" t="inlineStr">
        <is>
          <t>Nile Production Support</t>
        </is>
      </c>
      <c r="O65" s="107" t="inlineStr">
        <is>
          <t>Unassigned</t>
        </is>
      </c>
      <c r="P65" s="107" t="inlineStr">
        <is>
          <t>Brockett, Kylie</t>
        </is>
      </c>
      <c r="Q65" s="107" t="inlineStr">
        <is>
          <t>Resolved</t>
        </is>
      </c>
      <c r="R65" s="44" t="inlineStr">
        <is>
          <t>Change implemented pipelines are running fine Thanks Satish Devatha</t>
        </is>
      </c>
      <c r="S65" s="107" t="inlineStr"/>
      <c r="T65" s="107" t="inlineStr"/>
      <c r="U65" s="107" t="inlineStr"/>
      <c r="V65" s="113" t="inlineStr">
        <is>
          <t>Other</t>
        </is>
      </c>
      <c r="W65" s="107" t="inlineStr">
        <is>
          <t>Yes</t>
        </is>
      </c>
    </row>
    <row r="66">
      <c r="A66" s="109" t="inlineStr">
        <is>
          <t>IT-3060669</t>
        </is>
      </c>
      <c r="B66" s="109" t="inlineStr">
        <is>
          <t>IT-3060669</t>
        </is>
      </c>
      <c r="C66" s="109" t="inlineStr"/>
      <c r="D66" s="47" t="inlineStr">
        <is>
          <t>QC Client BCBSNC Facets OLA Set up</t>
        </is>
      </c>
      <c r="E66" s="47" t="inlineStr">
        <is>
          <t>QC Client BCBSNC Facets OLA Set up</t>
        </is>
      </c>
      <c r="F66" s="47" t="inlineStr"/>
      <c r="G66" s="47" t="inlineStr">
        <is>
          <t>OLA Set up done.</t>
        </is>
      </c>
      <c r="H66" s="109" t="inlineStr">
        <is>
          <t>Other</t>
        </is>
      </c>
      <c r="I66" s="109" t="inlineStr">
        <is>
          <t>Other</t>
        </is>
      </c>
      <c r="J66" s="109" t="inlineStr"/>
      <c r="K66" s="109" t="inlineStr">
        <is>
          <t>Closed</t>
        </is>
      </c>
      <c r="L66" s="109" t="inlineStr">
        <is>
          <t>2026-05-15</t>
        </is>
      </c>
      <c r="M66" s="109" t="inlineStr">
        <is>
          <t>2026-05-15</t>
        </is>
      </c>
      <c r="N66" s="109" t="inlineStr">
        <is>
          <t>Nile Production Support</t>
        </is>
      </c>
      <c r="O66" s="109" t="inlineStr">
        <is>
          <t>Unassigned</t>
        </is>
      </c>
      <c r="P66" s="109" t="inlineStr">
        <is>
          <t>Jani, Shaik</t>
        </is>
      </c>
      <c r="Q66" s="109" t="inlineStr">
        <is>
          <t>Resolved</t>
        </is>
      </c>
      <c r="R66" s="47" t="inlineStr"/>
      <c r="S66" s="109" t="inlineStr"/>
      <c r="T66" s="109" t="inlineStr"/>
      <c r="U66" s="109" t="inlineStr"/>
      <c r="V66" s="110" t="inlineStr">
        <is>
          <t>Other</t>
        </is>
      </c>
      <c r="W66" s="109" t="inlineStr">
        <is>
          <t>Yes</t>
        </is>
      </c>
    </row>
    <row r="67">
      <c r="A67" s="107" t="inlineStr">
        <is>
          <t>IT-3060664</t>
        </is>
      </c>
      <c r="B67" s="107" t="inlineStr">
        <is>
          <t>IT-3060664</t>
        </is>
      </c>
      <c r="C67" s="107" t="inlineStr"/>
      <c r="D67" s="44" t="inlineStr">
        <is>
          <t>QC Client Premera blue cross OLA Set up</t>
        </is>
      </c>
      <c r="E67" s="44" t="inlineStr">
        <is>
          <t>QC Client Premera blue cross OLA Set up</t>
        </is>
      </c>
      <c r="F67" s="44" t="inlineStr"/>
      <c r="G67" s="44" t="inlineStr">
        <is>
          <t>Set up done.</t>
        </is>
      </c>
      <c r="H67" s="107" t="inlineStr">
        <is>
          <t>Other</t>
        </is>
      </c>
      <c r="I67" s="107" t="inlineStr">
        <is>
          <t>Other</t>
        </is>
      </c>
      <c r="J67" s="107" t="inlineStr"/>
      <c r="K67" s="107" t="inlineStr">
        <is>
          <t>Closed</t>
        </is>
      </c>
      <c r="L67" s="107" t="inlineStr">
        <is>
          <t>2026-05-15</t>
        </is>
      </c>
      <c r="M67" s="107" t="inlineStr">
        <is>
          <t>2026-05-15</t>
        </is>
      </c>
      <c r="N67" s="107" t="inlineStr">
        <is>
          <t>Nile Production Support</t>
        </is>
      </c>
      <c r="O67" s="107" t="inlineStr">
        <is>
          <t>Unassigned</t>
        </is>
      </c>
      <c r="P67" s="107" t="inlineStr">
        <is>
          <t>Jani, Shaik</t>
        </is>
      </c>
      <c r="Q67" s="107" t="inlineStr">
        <is>
          <t>Resolved</t>
        </is>
      </c>
      <c r="R67" s="44" t="inlineStr"/>
      <c r="S67" s="107" t="inlineStr"/>
      <c r="T67" s="107" t="inlineStr"/>
      <c r="U67" s="107" t="inlineStr"/>
      <c r="V67" s="113" t="inlineStr">
        <is>
          <t>Other</t>
        </is>
      </c>
      <c r="W67" s="107" t="inlineStr">
        <is>
          <t>Yes</t>
        </is>
      </c>
    </row>
    <row r="68">
      <c r="A68" s="109" t="inlineStr">
        <is>
          <t>IT-3060650</t>
        </is>
      </c>
      <c r="B68" s="109" t="inlineStr">
        <is>
          <t>IT-3060650</t>
        </is>
      </c>
      <c r="C68" s="109" t="inlineStr"/>
      <c r="D68" s="47" t="inlineStr">
        <is>
          <t>QC Client Geisinger Facets OLA Setup</t>
        </is>
      </c>
      <c r="E68" s="47" t="inlineStr">
        <is>
          <t>QC Client Geisinger Facets OLA Setup</t>
        </is>
      </c>
      <c r="F68" s="47" t="inlineStr"/>
      <c r="G68" s="47" t="inlineStr">
        <is>
          <t>Set up done.</t>
        </is>
      </c>
      <c r="H68" s="109" t="inlineStr">
        <is>
          <t>Other</t>
        </is>
      </c>
      <c r="I68" s="109" t="inlineStr">
        <is>
          <t>Other</t>
        </is>
      </c>
      <c r="J68" s="109" t="inlineStr"/>
      <c r="K68" s="109" t="inlineStr">
        <is>
          <t>Closed</t>
        </is>
      </c>
      <c r="L68" s="109" t="inlineStr">
        <is>
          <t>2026-05-15</t>
        </is>
      </c>
      <c r="M68" s="109" t="inlineStr">
        <is>
          <t>2026-05-15</t>
        </is>
      </c>
      <c r="N68" s="109" t="inlineStr">
        <is>
          <t>Nile Production Support</t>
        </is>
      </c>
      <c r="O68" s="109" t="inlineStr">
        <is>
          <t>Unassigned</t>
        </is>
      </c>
      <c r="P68" s="109" t="inlineStr">
        <is>
          <t>Jani, Shaik</t>
        </is>
      </c>
      <c r="Q68" s="109" t="inlineStr">
        <is>
          <t>Resolved</t>
        </is>
      </c>
      <c r="R68" s="47" t="inlineStr"/>
      <c r="S68" s="109" t="inlineStr"/>
      <c r="T68" s="109" t="inlineStr"/>
      <c r="U68" s="109" t="inlineStr"/>
      <c r="V68" s="118" t="inlineStr">
        <is>
          <t>Configuration Issue</t>
        </is>
      </c>
      <c r="W68" s="109" t="inlineStr"/>
    </row>
    <row r="69">
      <c r="A69" s="107" t="inlineStr">
        <is>
          <t>IT-3060641</t>
        </is>
      </c>
      <c r="B69" s="107" t="inlineStr">
        <is>
          <t>IT-3060641</t>
        </is>
      </c>
      <c r="C69" s="107" t="inlineStr"/>
      <c r="D69" s="44" t="inlineStr">
        <is>
          <t>QC Client bcbsaz-qnxt OLA Setup</t>
        </is>
      </c>
      <c r="E69" s="44" t="inlineStr">
        <is>
          <t>QC Client bcbsaz-qnxt OLA Setup</t>
        </is>
      </c>
      <c r="F69" s="44" t="inlineStr"/>
      <c r="G69" s="44" t="inlineStr">
        <is>
          <t>Set up done</t>
        </is>
      </c>
      <c r="H69" s="107" t="inlineStr">
        <is>
          <t>Other</t>
        </is>
      </c>
      <c r="I69" s="107" t="inlineStr">
        <is>
          <t>Other</t>
        </is>
      </c>
      <c r="J69" s="107" t="inlineStr"/>
      <c r="K69" s="107" t="inlineStr">
        <is>
          <t>Closed</t>
        </is>
      </c>
      <c r="L69" s="107" t="inlineStr">
        <is>
          <t>2026-05-15</t>
        </is>
      </c>
      <c r="M69" s="107" t="inlineStr">
        <is>
          <t>2026-05-15</t>
        </is>
      </c>
      <c r="N69" s="107" t="inlineStr">
        <is>
          <t>Nile Production Support</t>
        </is>
      </c>
      <c r="O69" s="107" t="inlineStr">
        <is>
          <t>Unassigned</t>
        </is>
      </c>
      <c r="P69" s="107" t="inlineStr">
        <is>
          <t>Jani, Shaik</t>
        </is>
      </c>
      <c r="Q69" s="107" t="inlineStr">
        <is>
          <t>Resolved</t>
        </is>
      </c>
      <c r="R69" s="44" t="inlineStr"/>
      <c r="S69" s="107" t="inlineStr"/>
      <c r="T69" s="107" t="inlineStr"/>
      <c r="U69" s="107" t="inlineStr"/>
      <c r="V69" s="123" t="inlineStr">
        <is>
          <t>Configuration Issue</t>
        </is>
      </c>
      <c r="W69" s="107" t="inlineStr"/>
    </row>
    <row r="70">
      <c r="A70" s="109" t="inlineStr">
        <is>
          <t>IT-3060532</t>
        </is>
      </c>
      <c r="B70" s="109" t="inlineStr">
        <is>
          <t>IT-3060532</t>
        </is>
      </c>
      <c r="C70" s="109" t="inlineStr"/>
      <c r="D70" s="47" t="inlineStr">
        <is>
          <t>Please help us ingest Aetna Trad CAQH file - COB Smart Cotiviti 04172026.zip</t>
        </is>
      </c>
      <c r="E70" s="47" t="inlineStr">
        <is>
          <t>Hi Satish, Would you please help us ingest: COB Smart Cotiviti 04172026.zip With pipeline dm-aetna-traditional-actian_migration_caqh The problem with this file is that the file is spooled to an older folder *2020*0417. Client should have sent it with two digit year, but they made a mistake. I tried ingesting it with both V1.1 (no spooler required) and V1.3, but failed. Thanks in advance for your help melly</t>
        </is>
      </c>
      <c r="F70" s="47" t="inlineStr">
        <is>
          <t>File processed pipeline completed</t>
        </is>
      </c>
      <c r="G70" s="47" t="inlineStr">
        <is>
          <t>file processed</t>
        </is>
      </c>
      <c r="H70" s="109" t="inlineStr">
        <is>
          <t>Other</t>
        </is>
      </c>
      <c r="I70" s="109" t="inlineStr">
        <is>
          <t>Other</t>
        </is>
      </c>
      <c r="J70" s="109" t="inlineStr"/>
      <c r="K70" s="109" t="inlineStr">
        <is>
          <t>Closed</t>
        </is>
      </c>
      <c r="L70" s="109" t="inlineStr">
        <is>
          <t>2026-05-15</t>
        </is>
      </c>
      <c r="M70" s="109" t="inlineStr">
        <is>
          <t>2026-05-15</t>
        </is>
      </c>
      <c r="N70" s="109" t="inlineStr">
        <is>
          <t>Nile Production Support</t>
        </is>
      </c>
      <c r="O70" s="109" t="inlineStr">
        <is>
          <t>Unassigned</t>
        </is>
      </c>
      <c r="P70" s="109" t="inlineStr">
        <is>
          <t>Suryani, Melly</t>
        </is>
      </c>
      <c r="Q70" s="109" t="inlineStr">
        <is>
          <t>Resolved</t>
        </is>
      </c>
      <c r="R70" s="47" t="inlineStr">
        <is>
          <t>File processed pipeline completed</t>
        </is>
      </c>
      <c r="S70" s="109" t="inlineStr"/>
      <c r="T70" s="109" t="inlineStr"/>
      <c r="U70" s="109" t="inlineStr"/>
      <c r="V70" s="120" t="inlineStr">
        <is>
          <t>Spooler issue</t>
        </is>
      </c>
      <c r="W70" s="109" t="inlineStr"/>
    </row>
    <row r="71">
      <c r="A71" s="107" t="inlineStr">
        <is>
          <t>IT-3060510</t>
        </is>
      </c>
      <c r="B71" s="107" t="inlineStr">
        <is>
          <t>IT-3060510</t>
        </is>
      </c>
      <c r="C71" s="107" t="inlineStr"/>
      <c r="D71" s="44" t="inlineStr">
        <is>
          <t>Production Transition - Kaiser 8 regions</t>
        </is>
      </c>
      <c r="E71" s="44" t="inlineStr">
        <is>
          <t>Production Transition - Kaiser 8 regions of all RCA pipelines (Claims, Member, Provider)</t>
        </is>
      </c>
      <c r="F71" s="44" t="inlineStr">
        <is>
          <t>Awaiting documents from the requestor.</t>
        </is>
      </c>
      <c r="G71" s="44" t="inlineStr"/>
      <c r="H71" s="107" t="inlineStr">
        <is>
          <t>Other</t>
        </is>
      </c>
      <c r="I71" s="107" t="inlineStr">
        <is>
          <t>Other</t>
        </is>
      </c>
      <c r="J71" s="107" t="inlineStr"/>
      <c r="K71" s="107" t="inlineStr">
        <is>
          <t>On Hold</t>
        </is>
      </c>
      <c r="L71" s="107" t="inlineStr">
        <is>
          <t>2026-05-15</t>
        </is>
      </c>
      <c r="M71" s="107" t="inlineStr">
        <is>
          <t>2026-05-18</t>
        </is>
      </c>
      <c r="N71" s="107" t="inlineStr">
        <is>
          <t>Nile Production Support</t>
        </is>
      </c>
      <c r="O71" s="107" t="inlineStr">
        <is>
          <t>Unassigned</t>
        </is>
      </c>
      <c r="P71" s="107" t="inlineStr">
        <is>
          <t>Vutukuri, Praveen</t>
        </is>
      </c>
      <c r="Q71" s="107" t="inlineStr">
        <is>
          <t>Unresolved</t>
        </is>
      </c>
      <c r="R71" s="44" t="inlineStr">
        <is>
          <t>Awaiting documents from the requestor.</t>
        </is>
      </c>
      <c r="S71" s="107" t="inlineStr"/>
      <c r="T71" s="107" t="inlineStr"/>
      <c r="U71" s="107" t="inlineStr"/>
      <c r="V71" s="113" t="inlineStr">
        <is>
          <t>Other</t>
        </is>
      </c>
      <c r="W71" s="107" t="inlineStr">
        <is>
          <t>Yes</t>
        </is>
      </c>
    </row>
    <row r="72">
      <c r="A72" s="109" t="inlineStr">
        <is>
          <t>IT-3059837</t>
        </is>
      </c>
      <c r="B72" s="109" t="inlineStr">
        <is>
          <t>IT-3059837</t>
        </is>
      </c>
      <c r="C72" s="109" t="inlineStr"/>
      <c r="D72" s="47" t="inlineStr">
        <is>
          <t>Update " SpecialtyPharmacyProviders" Table in MCL</t>
        </is>
      </c>
      <c r="E72" s="47" t="inlineStr">
        <is>
          <t>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F72" s="47" t="inlineStr">
        <is>
          <t>SpecialtyPharmacyProviders.xlsx (4.74 MB) Hello Kamsetty, Sravani . This table and pipeline already exist. Table: [GlobalHCCnlyMedicalCodesLibrary] . [dbo] . [SpecialtyPharmacyProviders] Pipeline: dm-mcl-mcl-actian_migration_specialty_pharmacy_provider Source file location: Y:\Ftp\B2B\MCL-NILE\SpecialtyPharmacyProviders\2026-05-01\SpecialtyPharmacyProviders.xlsx Please let me know if you have any questions. Thanks. Mike Hi Deynarian, Michael , File has been loaded to target table. Could you please validate. Awaiting approval to close the ticket. Hello Kamsetty, Sravani . I have reviewed the table and it looks good. You can close the ticket. Thanks. Mike</t>
        </is>
      </c>
      <c r="G72" s="47" t="inlineStr">
        <is>
          <t>file spooled to hdfs and processed successfully to target table.</t>
        </is>
      </c>
      <c r="H72" s="109" t="inlineStr">
        <is>
          <t>Other</t>
        </is>
      </c>
      <c r="I72" s="109" t="inlineStr">
        <is>
          <t>Other</t>
        </is>
      </c>
      <c r="J72" s="109" t="inlineStr"/>
      <c r="K72" s="109" t="inlineStr">
        <is>
          <t>Closed</t>
        </is>
      </c>
      <c r="L72" s="109" t="inlineStr">
        <is>
          <t>2026-05-15</t>
        </is>
      </c>
      <c r="M72" s="109" t="inlineStr">
        <is>
          <t>2026-05-20</t>
        </is>
      </c>
      <c r="N72" s="109" t="inlineStr">
        <is>
          <t>Nile Production Support</t>
        </is>
      </c>
      <c r="O72" s="109" t="inlineStr">
        <is>
          <t>Unassigned</t>
        </is>
      </c>
      <c r="P72" s="109" t="inlineStr">
        <is>
          <t>Bhegade, Shweta</t>
        </is>
      </c>
      <c r="Q72" s="109" t="inlineStr">
        <is>
          <t>Resolved</t>
        </is>
      </c>
      <c r="R72" s="47" t="inlineStr">
        <is>
          <t>SpecialtyPharmacyProviders.xlsx (4.74 MB) Hello Kamsetty, Sravani . This table and pipeline already exist. Table: [GlobalHCCnlyMedicalCodesLibrary] . [dbo] . [SpecialtyPharmacyProviders] Pipeline: dm-mcl-mcl-actian_migration_specialty_pharmacy_provider Source file location: Y:\Ftp\B2B\MCL-NILE\SpecialtyPharmacyProviders\2026-05-01\SpecialtyPharmacyProviders.xlsx Please let me know if you have any questions. Thanks. Mike Hi Deynarian, Michael , File has been loaded to target table. Could you please validate. Awaiting approval to close the ticket. Hello Kamsetty, Sravani . I have reviewed the table and it looks good. You can close the ticket. Thanks. Mike</t>
        </is>
      </c>
      <c r="S72" s="109" t="inlineStr"/>
      <c r="T72" s="109" t="inlineStr"/>
      <c r="U72" s="109" t="inlineStr"/>
      <c r="V72" s="114" t="inlineStr">
        <is>
          <t>File Issue</t>
        </is>
      </c>
      <c r="W72" s="109" t="inlineStr"/>
    </row>
    <row r="73">
      <c r="A73" s="107" t="inlineStr">
        <is>
          <t>IT-3059815</t>
        </is>
      </c>
      <c r="B73" s="107" t="inlineStr">
        <is>
          <t>IT-3059815</t>
        </is>
      </c>
      <c r="C73" s="107" t="inlineStr"/>
      <c r="D73" s="44" t="inlineStr">
        <is>
          <t>rccv-caresource-facets-history_institutional_claims_custom_GDF2_13_CDF2_13 failed in schema validations</t>
        </is>
      </c>
      <c r="E73" s="44" t="inlineStr">
        <is>
          <t>Pipeline: rccv-caresource-facets-history_institutional_claims_custom_GDF2_13_CDF2_13 failed in Fail Stage-schema_validation_error [fail] stage, Can you please have a analysis on the data file once for the issue. if minor issue, if we can override the parameters and proceed ahead for this?</t>
        </is>
      </c>
      <c r="F73" s="44" t="inlineStr">
        <is>
          <t>Hi Raya, Birajan 1 record went to rejected folder Joel, send email to csm for confirmation. Hi Raya, Birajan pipeline completed Thanks</t>
        </is>
      </c>
      <c r="G73" s="44" t="inlineStr">
        <is>
          <t>pipeline completed</t>
        </is>
      </c>
      <c r="H73" s="107" t="inlineStr">
        <is>
          <t>Other</t>
        </is>
      </c>
      <c r="I73" s="107" t="inlineStr">
        <is>
          <t>Other</t>
        </is>
      </c>
      <c r="J73" s="107" t="inlineStr"/>
      <c r="K73" s="107" t="inlineStr">
        <is>
          <t>Closed</t>
        </is>
      </c>
      <c r="L73" s="107" t="inlineStr">
        <is>
          <t>2026-05-15</t>
        </is>
      </c>
      <c r="M73" s="107" t="inlineStr">
        <is>
          <t>2026-05-19</t>
        </is>
      </c>
      <c r="N73" s="107" t="inlineStr">
        <is>
          <t>Nile Production Support</t>
        </is>
      </c>
      <c r="O73" s="107" t="inlineStr">
        <is>
          <t>Unassigned</t>
        </is>
      </c>
      <c r="P73" s="107" t="inlineStr">
        <is>
          <t>Raya, Birajan</t>
        </is>
      </c>
      <c r="Q73" s="107" t="inlineStr">
        <is>
          <t>Resolved</t>
        </is>
      </c>
      <c r="R73" s="44" t="inlineStr">
        <is>
          <t>Hi Raya, Birajan 1 record went to rejected folder Joel, send email to csm for confirmation. Hi Raya, Birajan pipeline completed Thanks</t>
        </is>
      </c>
      <c r="S73" s="107" t="inlineStr"/>
      <c r="T73" s="107" t="inlineStr"/>
      <c r="U73" s="107" t="inlineStr"/>
      <c r="V73" s="113" t="inlineStr">
        <is>
          <t>Other</t>
        </is>
      </c>
      <c r="W73" s="107" t="inlineStr">
        <is>
          <t>Yes</t>
        </is>
      </c>
    </row>
    <row r="74">
      <c r="A74" s="109" t="inlineStr">
        <is>
          <t>IT-3059206</t>
        </is>
      </c>
      <c r="B74" s="109" t="inlineStr">
        <is>
          <t>IT-3059206</t>
        </is>
      </c>
      <c r="C74" s="109" t="inlineStr"/>
      <c r="D74" s="47" t="inlineStr">
        <is>
          <t>Please ingest available Centene PBM files for 20260426, 20260503, &amp; 20260510</t>
        </is>
      </c>
      <c r="E74" s="47" t="inlineStr">
        <is>
          <t>Please ingest available Centene PBM files for 20260426, 20260503, &amp; 20260510 in \\ccaintranet.com\DFS-FLD-01\Audits\Centene\Data_IT\FTP\ClientToCotiviti</t>
        </is>
      </c>
      <c r="F74" s="47" t="inlineStr">
        <is>
          <t>Checked with user to copy the files to nileclientdata, since we are not seeing the files in usual locatio. Files spooled to nile hdfs and pipelines processed successfully.</t>
        </is>
      </c>
      <c r="G74" s="47" t="inlineStr">
        <is>
          <t>Files spooled to nile hdfs and pipelines processed successfully.</t>
        </is>
      </c>
      <c r="H74" s="109" t="inlineStr">
        <is>
          <t>Other</t>
        </is>
      </c>
      <c r="I74" s="109" t="inlineStr">
        <is>
          <t>Other</t>
        </is>
      </c>
      <c r="J74" s="109" t="inlineStr"/>
      <c r="K74" s="109" t="inlineStr">
        <is>
          <t>Closed</t>
        </is>
      </c>
      <c r="L74" s="109" t="inlineStr">
        <is>
          <t>2026-05-14</t>
        </is>
      </c>
      <c r="M74" s="109" t="inlineStr">
        <is>
          <t>2026-05-19</t>
        </is>
      </c>
      <c r="N74" s="109" t="inlineStr">
        <is>
          <t>Nile Production Support</t>
        </is>
      </c>
      <c r="O74" s="109" t="inlineStr">
        <is>
          <t>Unassigned</t>
        </is>
      </c>
      <c r="P74" s="109" t="inlineStr">
        <is>
          <t>Castro, Ronald</t>
        </is>
      </c>
      <c r="Q74" s="109" t="inlineStr">
        <is>
          <t>Resolved</t>
        </is>
      </c>
      <c r="R74" s="47" t="inlineStr">
        <is>
          <t>Checked with user to copy the files to nileclientdata, since we are not seeing the files in usual locatio. Files spooled to nile hdfs and pipelines processed successfully.</t>
        </is>
      </c>
      <c r="S74" s="109" t="inlineStr"/>
      <c r="T74" s="109" t="inlineStr"/>
      <c r="U74" s="109" t="inlineStr"/>
      <c r="V74" s="110" t="inlineStr">
        <is>
          <t>Other</t>
        </is>
      </c>
      <c r="W74" s="109" t="inlineStr">
        <is>
          <t>Yes</t>
        </is>
      </c>
    </row>
    <row r="75">
      <c r="A75" s="107" t="inlineStr">
        <is>
          <t>IT-3058884</t>
        </is>
      </c>
      <c r="B75" s="107" t="inlineStr">
        <is>
          <t>IT-3058884</t>
        </is>
      </c>
      <c r="C75" s="107" t="inlineStr"/>
      <c r="D75" s="44" t="inlineStr">
        <is>
          <t>BCBS Minnesota PPM -Prod Transition Documents Review</t>
        </is>
      </c>
      <c r="E75" s="44" t="inlineStr">
        <is>
          <t>Please review the prod transition checklist documents for BCBS Minnesota PPM (BMNMD) and let us know if any changes are needed: Checklist and Escalation documents will be provided in the comments of the ticket when available.</t>
        </is>
      </c>
      <c r="F75" s="44" t="inlineStr">
        <is>
          <t>Awaiting transition call. Updating document links: Checklist: BCBSMinnesota_PPM_DataIngestion_Production_Job_Transition_Checklist Escalation Document: BMNMD_Joint Data Escalation Plan_06.01.2026</t>
        </is>
      </c>
      <c r="G75" s="44" t="inlineStr"/>
      <c r="H75" s="107" t="inlineStr">
        <is>
          <t>Other</t>
        </is>
      </c>
      <c r="I75" s="107" t="inlineStr">
        <is>
          <t>Other</t>
        </is>
      </c>
      <c r="J75" s="107" t="inlineStr"/>
      <c r="K75" s="107" t="inlineStr">
        <is>
          <t>On Hold</t>
        </is>
      </c>
      <c r="L75" s="107" t="inlineStr">
        <is>
          <t>2026-05-14</t>
        </is>
      </c>
      <c r="M75" s="107" t="inlineStr">
        <is>
          <t>2026-05-18</t>
        </is>
      </c>
      <c r="N75" s="107" t="inlineStr">
        <is>
          <t>Nile Production Support</t>
        </is>
      </c>
      <c r="O75" s="107" t="inlineStr">
        <is>
          <t>Unassigned</t>
        </is>
      </c>
      <c r="P75" s="107" t="inlineStr">
        <is>
          <t>Cheung, Rachael</t>
        </is>
      </c>
      <c r="Q75" s="107" t="inlineStr">
        <is>
          <t>Unresolved</t>
        </is>
      </c>
      <c r="R75" s="44" t="inlineStr">
        <is>
          <t>Awaiting transition call. Updating document links: Checklist: BCBSMinnesota_PPM_DataIngestion_Production_Job_Transition_Checklist Escalation Document: BMNMD_Joint Data Escalation Plan_06.01.2026</t>
        </is>
      </c>
      <c r="S75" s="107" t="inlineStr"/>
      <c r="T75" s="107" t="inlineStr"/>
      <c r="U75" s="107" t="inlineStr"/>
      <c r="V75" s="113" t="inlineStr">
        <is>
          <t>Other</t>
        </is>
      </c>
      <c r="W75" s="107" t="inlineStr">
        <is>
          <t>Yes</t>
        </is>
      </c>
    </row>
    <row r="76">
      <c r="A76" s="109" t="inlineStr">
        <is>
          <t>IT-3058883</t>
        </is>
      </c>
      <c r="B76" s="109" t="inlineStr">
        <is>
          <t>IT-3058883</t>
        </is>
      </c>
      <c r="C76" s="109" t="inlineStr"/>
      <c r="D76" s="47" t="inlineStr">
        <is>
          <t>Community First Health Plans PPM - Prod Transition Documents Review</t>
        </is>
      </c>
      <c r="E76" s="47" t="inlineStr">
        <is>
          <t>Please review the prod transition checklist documents for Community First Health Plan (CMFHP) PPM and let us know if any changes are needed: Checklist and Escalation documents will be provided in the comments of the ticket when available.</t>
        </is>
      </c>
      <c r="F76" s="47" t="inlineStr">
        <is>
          <t>awaiting documents.</t>
        </is>
      </c>
      <c r="G76" s="47" t="inlineStr"/>
      <c r="H76" s="109" t="inlineStr">
        <is>
          <t>Other</t>
        </is>
      </c>
      <c r="I76" s="109" t="inlineStr">
        <is>
          <t>Other</t>
        </is>
      </c>
      <c r="J76" s="109" t="inlineStr"/>
      <c r="K76" s="109" t="inlineStr">
        <is>
          <t>On Hold</t>
        </is>
      </c>
      <c r="L76" s="109" t="inlineStr">
        <is>
          <t>2026-05-14</t>
        </is>
      </c>
      <c r="M76" s="109" t="inlineStr">
        <is>
          <t>2026-05-18</t>
        </is>
      </c>
      <c r="N76" s="109" t="inlineStr">
        <is>
          <t>Nile Production Support</t>
        </is>
      </c>
      <c r="O76" s="109" t="inlineStr">
        <is>
          <t>Unassigned</t>
        </is>
      </c>
      <c r="P76" s="109" t="inlineStr">
        <is>
          <t>Cheung, Rachael</t>
        </is>
      </c>
      <c r="Q76" s="109" t="inlineStr">
        <is>
          <t>Unresolved</t>
        </is>
      </c>
      <c r="R76" s="47" t="inlineStr">
        <is>
          <t>awaiting documents.</t>
        </is>
      </c>
      <c r="S76" s="109" t="inlineStr"/>
      <c r="T76" s="109" t="inlineStr"/>
      <c r="U76" s="109" t="inlineStr"/>
      <c r="V76" s="110" t="inlineStr">
        <is>
          <t>Other</t>
        </is>
      </c>
      <c r="W76" s="109" t="inlineStr">
        <is>
          <t>Yes</t>
        </is>
      </c>
    </row>
    <row r="77">
      <c r="A77" s="107" t="inlineStr">
        <is>
          <t>IT-3058880</t>
        </is>
      </c>
      <c r="B77" s="107" t="inlineStr">
        <is>
          <t>IT-3058880</t>
        </is>
      </c>
      <c r="C77" s="107" t="inlineStr"/>
      <c r="D77" s="44" t="inlineStr">
        <is>
          <t>Astrana Health PPM - Prod Transition Documents Review</t>
        </is>
      </c>
      <c r="E77" s="44" t="inlineStr">
        <is>
          <t>Please review the prod transition checklist documents for Astrana Health PPM and let us know if any changes are needed: Transition Document: AstranaASTCM_PPM_DataIngestion_Production_Job_Transition_Checklist .docx Escalation Document: Astrana PPM-CV_Implementation Profile_Technical Workstream v3</t>
        </is>
      </c>
      <c r="F77" s="44" t="inlineStr">
        <is>
          <t>awaiting transition.</t>
        </is>
      </c>
      <c r="G77" s="44" t="inlineStr"/>
      <c r="H77" s="107" t="inlineStr">
        <is>
          <t>Other</t>
        </is>
      </c>
      <c r="I77" s="107" t="inlineStr">
        <is>
          <t>Other</t>
        </is>
      </c>
      <c r="J77" s="107" t="inlineStr"/>
      <c r="K77" s="107" t="inlineStr">
        <is>
          <t>On Hold</t>
        </is>
      </c>
      <c r="L77" s="107" t="inlineStr">
        <is>
          <t>2026-05-14</t>
        </is>
      </c>
      <c r="M77" s="107" t="inlineStr">
        <is>
          <t>2026-05-18</t>
        </is>
      </c>
      <c r="N77" s="107" t="inlineStr">
        <is>
          <t>Nile Production Support</t>
        </is>
      </c>
      <c r="O77" s="107" t="inlineStr">
        <is>
          <t>Unassigned</t>
        </is>
      </c>
      <c r="P77" s="107" t="inlineStr">
        <is>
          <t>Cheung, Rachael</t>
        </is>
      </c>
      <c r="Q77" s="107" t="inlineStr">
        <is>
          <t>Unresolved</t>
        </is>
      </c>
      <c r="R77" s="44" t="inlineStr">
        <is>
          <t>awaiting transition.</t>
        </is>
      </c>
      <c r="S77" s="107" t="inlineStr"/>
      <c r="T77" s="107" t="inlineStr"/>
      <c r="U77" s="107" t="inlineStr"/>
      <c r="V77" s="113" t="inlineStr">
        <is>
          <t>Other</t>
        </is>
      </c>
      <c r="W77" s="107" t="inlineStr">
        <is>
          <t>Yes</t>
        </is>
      </c>
    </row>
    <row r="78">
      <c r="A78" s="109" t="inlineStr">
        <is>
          <t>IT-3058729</t>
        </is>
      </c>
      <c r="B78" s="109" t="inlineStr">
        <is>
          <t>IT-3058729</t>
        </is>
      </c>
      <c r="C78" s="109" t="inlineStr"/>
      <c r="D78" s="47" t="inlineStr">
        <is>
          <t>P3 Health Partners PPM - Review Handover for Professional Pipeline Reimplementation</t>
        </is>
      </c>
      <c r="E78" s="47" t="inlineStr">
        <is>
          <t>As per DIP-38567 , we have completed the implementation of a custom CDF for TBA/History Professional files for P3 Health Partners PPM (p3hpi), and would like to hand over this new process to Production Support. Here is the change: For TBA/history professional files, appended custom CDF field (#514) PAYER_ORGANIZATION_NAME, mapped from GDF field CH_PAYER_ORGANIZATION_NAME The new pipelines use the same "optimized" PPM template as the Humana and Wellmark PPM pipelines, currently supported by Production Support. This change is to be applied following the ICMS May release on 5/24, so we have published the new pipelines and enabled EDA starting on 5/24. The file schedule and escalation procedures will remain the same. Following are the new pipelines in QC and Prod, EDA is enabled starting 5/24: 2026-05-04-68732485 (V1) ppm-p3healthpartners-ezcap-history-professional-claims_GDF2_8_customCDF2_8_optimized 2026-05-04-68052465 (V1) ppm-p3healthpartners-ezcap-tba-professional-claims_GDF2_8_customCDF2_8_optimized Request: Support these new pipelines starting 5/24 files, and disable old history professional /TBA professional pipelines after 5/23 files are processed.</t>
        </is>
      </c>
      <c r="F78" s="47" t="inlineStr">
        <is>
          <t>Since the last file is on 23rd May. Will set up schedules to the pipeline to avoid conflict.</t>
        </is>
      </c>
      <c r="G78" s="47" t="inlineStr">
        <is>
          <t>Request actioned.</t>
        </is>
      </c>
      <c r="H78" s="109" t="inlineStr">
        <is>
          <t>Other</t>
        </is>
      </c>
      <c r="I78" s="109" t="inlineStr">
        <is>
          <t>Other</t>
        </is>
      </c>
      <c r="J78" s="109" t="inlineStr"/>
      <c r="K78" s="109" t="inlineStr">
        <is>
          <t>Closed</t>
        </is>
      </c>
      <c r="L78" s="109" t="inlineStr">
        <is>
          <t>2026-05-14</t>
        </is>
      </c>
      <c r="M78" s="109" t="inlineStr">
        <is>
          <t>2026-05-25</t>
        </is>
      </c>
      <c r="N78" s="109" t="inlineStr">
        <is>
          <t>Nile Production Support</t>
        </is>
      </c>
      <c r="O78" s="109" t="inlineStr">
        <is>
          <t>Unassigned</t>
        </is>
      </c>
      <c r="P78" s="109" t="inlineStr">
        <is>
          <t>Cheung, Rachael</t>
        </is>
      </c>
      <c r="Q78" s="109" t="inlineStr">
        <is>
          <t>Resolved</t>
        </is>
      </c>
      <c r="R78" s="47" t="inlineStr">
        <is>
          <t>Since the last file is on 23rd May. Will set up schedules to the pipeline to avoid conflict.</t>
        </is>
      </c>
      <c r="S78" s="109" t="inlineStr"/>
      <c r="T78" s="109" t="inlineStr"/>
      <c r="U78" s="109" t="inlineStr"/>
      <c r="V78" s="112" t="inlineStr">
        <is>
          <t>Pipeline Schedule</t>
        </is>
      </c>
      <c r="W78" s="109" t="inlineStr"/>
    </row>
    <row r="79">
      <c r="A79" s="107" t="inlineStr">
        <is>
          <t>IT-3058680</t>
        </is>
      </c>
      <c r="B79" s="107" t="inlineStr">
        <is>
          <t>IT-3058680</t>
        </is>
      </c>
      <c r="C79" s="107" t="inlineStr"/>
      <c r="D79" s="44" t="inlineStr">
        <is>
          <t>Please change these database target settings</t>
        </is>
      </c>
      <c r="E79" s="44" t="inlineStr">
        <is>
          <t>Hi Nile PS Triage team, Would you please change these two database target settings. BCBS_MIData: From: jdbc:sqlserver:// dc-hurricane .ccaintranet.com:1433;databaseName=BCBS_MIData;…… To: jdbc:sqlserver:// BCBSMI.stg.sql .ccaintranet.com:1433;databaseName=BCBS_MIData;….. ExcellusAuditorsCOBProd From: jdbc:sqlserver:// DC-HURRICANE .ccaintranet.com:1433;databaseName=ExcellusAuditorsCOBProd;… To: jdbc:sqlserver:// Excellus.stg.sql .ccaintranet.com:1433;databaseName=ExcellusAuditorsCOBProd;…. DC-Hurricane will be discontinued this weekend 5/16. Thanks! melly</t>
        </is>
      </c>
      <c r="F79" s="44" t="inlineStr">
        <is>
          <t>Db target servers has been updated with the latest staging server. Updated db creds for excellus and validated the connection.</t>
        </is>
      </c>
      <c r="G79" s="44" t="inlineStr">
        <is>
          <t>Db target servers has been updated with the latest staging server.</t>
        </is>
      </c>
      <c r="H79" s="107" t="inlineStr">
        <is>
          <t>Other</t>
        </is>
      </c>
      <c r="I79" s="107" t="inlineStr">
        <is>
          <t>Other</t>
        </is>
      </c>
      <c r="J79" s="107" t="inlineStr"/>
      <c r="K79" s="107" t="inlineStr">
        <is>
          <t>Closed</t>
        </is>
      </c>
      <c r="L79" s="107" t="inlineStr">
        <is>
          <t>2026-05-14</t>
        </is>
      </c>
      <c r="M79" s="107" t="inlineStr">
        <is>
          <t>2026-05-20</t>
        </is>
      </c>
      <c r="N79" s="107" t="inlineStr">
        <is>
          <t>Nile Production Support</t>
        </is>
      </c>
      <c r="O79" s="107" t="inlineStr">
        <is>
          <t>Unassigned</t>
        </is>
      </c>
      <c r="P79" s="107" t="inlineStr">
        <is>
          <t>Suryani, Melly</t>
        </is>
      </c>
      <c r="Q79" s="107" t="inlineStr">
        <is>
          <t>Resolved</t>
        </is>
      </c>
      <c r="R79" s="44" t="inlineStr">
        <is>
          <t>Db target servers has been updated with the latest staging server. Updated db creds for excellus and validated the connection.</t>
        </is>
      </c>
      <c r="S79" s="107" t="inlineStr"/>
      <c r="T79" s="107" t="inlineStr"/>
      <c r="U79" s="107" t="inlineStr"/>
      <c r="V79" s="124" t="inlineStr">
        <is>
          <t>Issue Platform</t>
        </is>
      </c>
      <c r="W79" s="107" t="inlineStr"/>
    </row>
    <row r="80">
      <c r="A80" s="109" t="inlineStr">
        <is>
          <t>IT-3058679</t>
        </is>
      </c>
      <c r="B80" s="109" t="inlineStr">
        <is>
          <t>IT-3058679</t>
        </is>
      </c>
      <c r="C80" s="109" t="inlineStr"/>
      <c r="D80" s="47" t="inlineStr">
        <is>
          <t>Process USAA Replacement Files</t>
        </is>
      </c>
      <c r="E80" s="47" t="inlineStr">
        <is>
          <t>USAA had an issue with their monthly extracts, and had to send a replacement set. Please process these files. Thank you!</t>
        </is>
      </c>
      <c r="F80" s="47" t="inlineStr">
        <is>
          <t>Received Replacement files and processed</t>
        </is>
      </c>
      <c r="G80" s="47" t="inlineStr">
        <is>
          <t>Received Replacement files and processed</t>
        </is>
      </c>
      <c r="H80" s="109" t="inlineStr">
        <is>
          <t>Other</t>
        </is>
      </c>
      <c r="I80" s="109" t="inlineStr">
        <is>
          <t>Other</t>
        </is>
      </c>
      <c r="J80" s="109" t="inlineStr"/>
      <c r="K80" s="109" t="inlineStr">
        <is>
          <t>Closed</t>
        </is>
      </c>
      <c r="L80" s="109" t="inlineStr">
        <is>
          <t>2026-05-14</t>
        </is>
      </c>
      <c r="M80" s="109" t="inlineStr">
        <is>
          <t>2026-05-14</t>
        </is>
      </c>
      <c r="N80" s="109" t="inlineStr">
        <is>
          <t>Nile Production Support</t>
        </is>
      </c>
      <c r="O80" s="109" t="inlineStr">
        <is>
          <t>Unassigned</t>
        </is>
      </c>
      <c r="P80" s="109" t="inlineStr">
        <is>
          <t>Campbell, William</t>
        </is>
      </c>
      <c r="Q80" s="109" t="inlineStr">
        <is>
          <t>Resolved</t>
        </is>
      </c>
      <c r="R80" s="47" t="inlineStr">
        <is>
          <t>Received Replacement files and processed</t>
        </is>
      </c>
      <c r="S80" s="109" t="inlineStr"/>
      <c r="T80" s="109" t="inlineStr"/>
      <c r="U80" s="109" t="inlineStr"/>
      <c r="V80" s="110" t="inlineStr">
        <is>
          <t>Other</t>
        </is>
      </c>
      <c r="W80" s="109" t="inlineStr">
        <is>
          <t>Yes</t>
        </is>
      </c>
    </row>
    <row r="81">
      <c r="A81" s="107" t="inlineStr">
        <is>
          <t>IT-3058434</t>
        </is>
      </c>
      <c r="B81" s="107" t="inlineStr">
        <is>
          <t>IT-3058434</t>
        </is>
      </c>
      <c r="C81" s="107" t="inlineStr"/>
      <c r="D81" s="44" t="inlineStr">
        <is>
          <t>Provide List of HNK Commercial Files Client Sends</t>
        </is>
      </c>
      <c r="E81" s="44" t="inlineStr">
        <is>
          <t>Worked with Joy’s team and NILE to gather a list of the files that we receive from Highmark Commercial on a weekly and monthly basis. Submitting ticket for tracking purposes. chhosp_20260417.txt.bz2 cpprof_20260417.txt.bz2 crrev_20260417.txt.bz2 d1diag9_20260417.txt.bz2 d2diag10_20260417.txt.bz2 d3diag9_20260417.txt.bz2 d4diag10_20260417.txt.bz2 d5proc9_20260417.txt.bz2 d6proc10_20260417.txt.bz2 d7cond_20260417.txt.bz2 d8occur_20260417.txt.bz2 d9value_20260417.txt.bz2 darug_20260417.txt.bz2 rxphar_20260417.txt.bz2 practvendntwk_highmark_20260503.txt provdrcode_highmark_20260503.txt provdr_highmark_20260503.txt vendntwk_highmark_20260503.txt cotiviti_monthly_eligibility_p_20260307.txt OVERLAP_20260414.zip</t>
        </is>
      </c>
      <c r="F81" s="44" t="inlineStr"/>
      <c r="G81" s="44" t="inlineStr">
        <is>
          <t>Shared files list</t>
        </is>
      </c>
      <c r="H81" s="107" t="inlineStr">
        <is>
          <t>Other</t>
        </is>
      </c>
      <c r="I81" s="107" t="inlineStr">
        <is>
          <t>Other</t>
        </is>
      </c>
      <c r="J81" s="107" t="inlineStr"/>
      <c r="K81" s="107" t="inlineStr">
        <is>
          <t>Closed</t>
        </is>
      </c>
      <c r="L81" s="107" t="inlineStr">
        <is>
          <t>2026-05-14</t>
        </is>
      </c>
      <c r="M81" s="107" t="inlineStr">
        <is>
          <t>2026-05-14</t>
        </is>
      </c>
      <c r="N81" s="107" t="inlineStr">
        <is>
          <t>Nile Production Support</t>
        </is>
      </c>
      <c r="O81" s="107" t="inlineStr">
        <is>
          <t>Unassigned</t>
        </is>
      </c>
      <c r="P81" s="107" t="inlineStr">
        <is>
          <t>Evely, Theresa</t>
        </is>
      </c>
      <c r="Q81" s="107" t="inlineStr">
        <is>
          <t>Resolved</t>
        </is>
      </c>
      <c r="R81" s="44" t="inlineStr"/>
      <c r="S81" s="107" t="inlineStr"/>
      <c r="T81" s="107" t="inlineStr"/>
      <c r="U81" s="107" t="inlineStr"/>
      <c r="V81" s="113" t="inlineStr">
        <is>
          <t>Other</t>
        </is>
      </c>
      <c r="W81" s="107" t="inlineStr">
        <is>
          <t>Yes</t>
        </is>
      </c>
    </row>
    <row r="82">
      <c r="A82" s="109" t="inlineStr">
        <is>
          <t>IT-3057984</t>
        </is>
      </c>
      <c r="B82" s="109" t="inlineStr">
        <is>
          <t>IT-3057984</t>
        </is>
      </c>
      <c r="C82" s="109" t="inlineStr"/>
      <c r="D82" s="47" t="inlineStr">
        <is>
          <t>Please perform adhoc spooler so that file BCBSMN_COTIVITI_ENGEN_20260401_20260430_CLAIM_20260512.txt can be inside folder date 20260512</t>
        </is>
      </c>
      <c r="E82" s="47" t="inlineStr">
        <is>
          <t>Hi Satish, Can we ask our help so that file above can be in the raw folder 20260512? /dataingestionprod/raw/restricted/268-bcbs_mn-bcbs_mn/20260512 the retention is 0, so we need to spool it today so it won’t be deleted from ftp. Thanks in advance Satish, melly</t>
        </is>
      </c>
      <c r="F82" s="47" t="inlineStr">
        <is>
          <t>As file already spooled in 20260514 datadate So moved the file to 20260512 datadate and run the pipeline and it got completed Thanks</t>
        </is>
      </c>
      <c r="G82" s="47" t="inlineStr">
        <is>
          <t>pipeline and it got completed</t>
        </is>
      </c>
      <c r="H82" s="109" t="inlineStr">
        <is>
          <t>Other</t>
        </is>
      </c>
      <c r="I82" s="109" t="inlineStr">
        <is>
          <t>Other</t>
        </is>
      </c>
      <c r="J82" s="109" t="inlineStr"/>
      <c r="K82" s="109" t="inlineStr">
        <is>
          <t>Closed</t>
        </is>
      </c>
      <c r="L82" s="109" t="inlineStr">
        <is>
          <t>2026-05-14</t>
        </is>
      </c>
      <c r="M82" s="109" t="inlineStr">
        <is>
          <t>2026-05-14</t>
        </is>
      </c>
      <c r="N82" s="109" t="inlineStr">
        <is>
          <t>Nile Production Support</t>
        </is>
      </c>
      <c r="O82" s="109" t="inlineStr">
        <is>
          <t>Unassigned</t>
        </is>
      </c>
      <c r="P82" s="109" t="inlineStr">
        <is>
          <t>Suryani, Melly</t>
        </is>
      </c>
      <c r="Q82" s="109" t="inlineStr">
        <is>
          <t>Resolved</t>
        </is>
      </c>
      <c r="R82" s="47" t="inlineStr">
        <is>
          <t>As file already spooled in 20260514 datadate So moved the file to 20260512 datadate and run the pipeline and it got completed Thanks</t>
        </is>
      </c>
      <c r="S82" s="109" t="inlineStr"/>
      <c r="T82" s="109" t="inlineStr"/>
      <c r="U82" s="109" t="inlineStr"/>
      <c r="V82" s="120" t="inlineStr">
        <is>
          <t>Spooler issue</t>
        </is>
      </c>
      <c r="W82" s="109" t="inlineStr"/>
    </row>
    <row r="83">
      <c r="A83" s="107" t="inlineStr">
        <is>
          <t>IT-3057953</t>
        </is>
      </c>
      <c r="B83" s="107" t="inlineStr">
        <is>
          <t>IT-3057953</t>
        </is>
      </c>
      <c r="C83" s="107" t="inlineStr"/>
      <c r="D83" s="44" t="inlineStr">
        <is>
          <t>Move history file from dataingestionprod/ to dataingestiondev/ and dataingestionqc/</t>
        </is>
      </c>
      <c r="E83" s="44" t="inlineStr">
        <is>
          <t>Please see below and copy the Source file to both Destinations in HDFS (server Nile-prod). Thank you. Source file : /dataingestionprod/raw/unrestricted/18-uhc-cosmos/20260428/COSMOS_FACL_CONTRACT_CATEGORY_OUT_HIST_APR26.txt.gz.pgp Destination 1 : /dataingestiondev/raw/unrestricted/18-uhc-cosmos/20260428/COSMOS_FACL_CONTRACT_CATEGORY_OUT_HIST_APR26.txt.gz.pgp Destination 2 : /dataingestionqc/raw/unrestricted/18-uhc-cosmos/20260428/COSMOS_FACL_CONTRACT_CATEGORY_OUT_HIST_APR26.txt.gz.pgp</t>
        </is>
      </c>
      <c r="F83" s="44" t="inlineStr">
        <is>
          <t>Files Copied please verify Looks good thank you Devatha, Satish !</t>
        </is>
      </c>
      <c r="G83" s="44" t="inlineStr">
        <is>
          <t>Files Copied</t>
        </is>
      </c>
      <c r="H83" s="107" t="inlineStr">
        <is>
          <t>Other</t>
        </is>
      </c>
      <c r="I83" s="107" t="inlineStr">
        <is>
          <t>Other</t>
        </is>
      </c>
      <c r="J83" s="107" t="inlineStr"/>
      <c r="K83" s="107" t="inlineStr">
        <is>
          <t>Closed</t>
        </is>
      </c>
      <c r="L83" s="107" t="inlineStr">
        <is>
          <t>2026-05-14</t>
        </is>
      </c>
      <c r="M83" s="107" t="inlineStr">
        <is>
          <t>2026-05-18</t>
        </is>
      </c>
      <c r="N83" s="107" t="inlineStr">
        <is>
          <t>Nile Production Support</t>
        </is>
      </c>
      <c r="O83" s="107" t="inlineStr">
        <is>
          <t>Unassigned</t>
        </is>
      </c>
      <c r="P83" s="107" t="inlineStr">
        <is>
          <t>Maguire, Patrick</t>
        </is>
      </c>
      <c r="Q83" s="107" t="inlineStr">
        <is>
          <t>Resolved</t>
        </is>
      </c>
      <c r="R83" s="44" t="inlineStr">
        <is>
          <t>Files Copied please verify Looks good thank you Devatha, Satish !</t>
        </is>
      </c>
      <c r="S83" s="107" t="inlineStr"/>
      <c r="T83" s="107" t="inlineStr"/>
      <c r="U83" s="107" t="inlineStr"/>
      <c r="V83" s="113" t="inlineStr">
        <is>
          <t>Other</t>
        </is>
      </c>
      <c r="W83" s="107" t="inlineStr">
        <is>
          <t>Yes</t>
        </is>
      </c>
    </row>
    <row r="84">
      <c r="A84" s="109" t="inlineStr">
        <is>
          <t>IT-3057946</t>
        </is>
      </c>
      <c r="B84" s="109" t="inlineStr">
        <is>
          <t>IT-3057946</t>
        </is>
      </c>
      <c r="C84" s="109" t="inlineStr"/>
      <c r="D84" s="47" t="inlineStr">
        <is>
          <t>Regence Weekly ARK PBM Data and Trigger Files Not Posted in Hadoop</t>
        </is>
      </c>
      <c r="E84" s="47" t="inlineStr">
        <is>
          <t>Hello Nile Team. The weekly Regence ARK PBM trigger and data files have not been posted in Hadoop. They are usually posted on Wednesday nights around 8 pm ET. Can someone please check on these files? Thanks. Mike</t>
        </is>
      </c>
      <c r="F84" s="47" t="inlineStr">
        <is>
          <t>We've not received the file yet to complete the ingestion. Informed end user Hello Easley, Keaton and Nile team. Can you please check to see if the weekly Regence ARK data file is available to be posted in Hadoop? Thanks. Mike Hello Easley, Keaton . The Regence ARK PBM trigger and data files were posted to Hadoop this morning (5/19). You can close the ticket. Thanks. Mike</t>
        </is>
      </c>
      <c r="G84" s="47" t="inlineStr"/>
      <c r="H84" s="109" t="inlineStr">
        <is>
          <t>Other</t>
        </is>
      </c>
      <c r="I84" s="109" t="inlineStr">
        <is>
          <t>Other</t>
        </is>
      </c>
      <c r="J84" s="109" t="inlineStr"/>
      <c r="K84" s="109" t="inlineStr">
        <is>
          <t>On Hold</t>
        </is>
      </c>
      <c r="L84" s="109" t="inlineStr">
        <is>
          <t>2026-05-14</t>
        </is>
      </c>
      <c r="M84" s="109" t="inlineStr">
        <is>
          <t>2026-05-19</t>
        </is>
      </c>
      <c r="N84" s="109" t="inlineStr">
        <is>
          <t>Nile Production Support</t>
        </is>
      </c>
      <c r="O84" s="109" t="inlineStr">
        <is>
          <t>Unassigned</t>
        </is>
      </c>
      <c r="P84" s="109" t="inlineStr">
        <is>
          <t>Deynarian, Michael</t>
        </is>
      </c>
      <c r="Q84" s="109" t="inlineStr">
        <is>
          <t>Unresolved</t>
        </is>
      </c>
      <c r="R84" s="47" t="inlineStr">
        <is>
          <t>We've not received the file yet to complete the ingestion. Informed end user Hello Easley, Keaton and Nile team. Can you please check to see if the weekly Regence ARK data file is available to be posted in Hadoop? Thanks. Mike Hello Easley, Keaton . The Regence ARK PBM trigger and data files were posted to Hadoop this morning (5/19). You can close the ticket. Thanks. Mike</t>
        </is>
      </c>
      <c r="S84" s="109" t="inlineStr"/>
      <c r="T84" s="109" t="inlineStr"/>
      <c r="U84" s="109" t="inlineStr"/>
      <c r="V84" s="119" t="inlineStr">
        <is>
          <t>File Missing</t>
        </is>
      </c>
      <c r="W84" s="109" t="inlineStr"/>
    </row>
    <row r="85">
      <c r="A85" s="107" t="inlineStr">
        <is>
          <t>IT-3057099</t>
        </is>
      </c>
      <c r="B85" s="107" t="inlineStr">
        <is>
          <t>IT-3057099</t>
        </is>
      </c>
      <c r="C85" s="107" t="inlineStr"/>
      <c r="D85" s="44" t="inlineStr">
        <is>
          <t>CareSource - RCCV CDF Mapping for New Plan</t>
        </is>
      </c>
      <c r="E85" s="44" t="inlineStr">
        <is>
          <t>We are expanding CareSource and adding TriCare plan. We have a new Letter Plan Code mapping that needs to be incorporated into the CDF logic. If the payer short is CSTRI and the INSURANCE_LOB is CTSC, update the LETTER_PLAN_CODE field to CSTR01. This is also shown on the Crosswalk tab in the "CARHP - TBA_v2.3.1_to_GDF_v2.13_mapping_v3.xlsx" document. I can forward the document when ready for coding. If the payer short is CSTRI and the INSURANCE_LOB is CTSC, update the LETTER_PLAN_CODE field to CSTR01. This is also shown on the Crosswalk tab in the "CARHP - TBA_v2.3.1_to_GDF_v2.13_mapping_v3.xlsx" document. I can forward the document when ready for coding.</t>
        </is>
      </c>
      <c r="F85" s="44" t="inlineStr"/>
      <c r="G85" s="44" t="inlineStr"/>
      <c r="H85" s="107" t="inlineStr">
        <is>
          <t>Other</t>
        </is>
      </c>
      <c r="I85" s="107" t="inlineStr">
        <is>
          <t>Other</t>
        </is>
      </c>
      <c r="J85" s="107" t="inlineStr"/>
      <c r="K85" s="107" t="inlineStr">
        <is>
          <t>In Progress (HD1)</t>
        </is>
      </c>
      <c r="L85" s="107" t="inlineStr">
        <is>
          <t>2026-05-14</t>
        </is>
      </c>
      <c r="M85" s="107" t="inlineStr">
        <is>
          <t>2026-05-19</t>
        </is>
      </c>
      <c r="N85" s="107" t="inlineStr">
        <is>
          <t>Nile Production Support</t>
        </is>
      </c>
      <c r="O85" s="107" t="inlineStr">
        <is>
          <t>Unassigned</t>
        </is>
      </c>
      <c r="P85" s="107" t="inlineStr">
        <is>
          <t>Goida, Paul</t>
        </is>
      </c>
      <c r="Q85" s="107" t="inlineStr">
        <is>
          <t>Unresolved</t>
        </is>
      </c>
      <c r="R85" s="44" t="inlineStr"/>
      <c r="S85" s="107" t="inlineStr"/>
      <c r="T85" s="107" t="inlineStr"/>
      <c r="U85" s="107" t="inlineStr"/>
      <c r="V85" s="123" t="inlineStr">
        <is>
          <t>Configuration Issue</t>
        </is>
      </c>
      <c r="W85" s="107" t="inlineStr"/>
    </row>
    <row r="86">
      <c r="A86" s="109" t="inlineStr">
        <is>
          <t>IT-3057038</t>
        </is>
      </c>
      <c r="B86" s="109" t="inlineStr">
        <is>
          <t>IT-3057038</t>
        </is>
      </c>
      <c r="C86" s="109" t="inlineStr"/>
      <c r="D86" s="47" t="inlineStr">
        <is>
          <t>Need assistance pulling raw provider file for BCSSC</t>
        </is>
      </c>
      <c r="E86" s="47" t="inlineStr">
        <is>
          <t>Can you provide the join logic used for the raw provider files for BCSSC as well as the provider address files mentioned above? The CSM is asking on behalf of their client. They do not believe we are using the latest provider addresses they are sending to us. Client request to review RAW data files to verify where we pull CH_Billing Provider. From what I have been told, we pull it from the file names below, and my question is what is the RAW data file field we pull from? bcscp_history_institutional_incoming_20260327_1.txt.pgp bcssc_postcheck_medical_incoming_20260321_1091353.txt.pgp Second question is that I see these files on the T1 T2 logs and I'm wondering what is in the files and what are we using it for: bcssc_provideraddress_outgoing_20260327_1.txt.pgp bcssc_provideraddress_incoming_20260327_1.txt.pgp This is for CCV but the TBA file we ingest comes through PPM so I do not have any insight into their raw provider file or where I can find it. Can you provide the join logic used for the raw provider files for BCSSC as well as the provider address files mentioned above? The CSM is asking on behalf of their client. They do not believe we are using the latest provider addresses they are sending to us.</t>
        </is>
      </c>
      <c r="F86" s="47" t="inlineStr">
        <is>
          <t>Shared Details</t>
        </is>
      </c>
      <c r="G86" s="47" t="inlineStr">
        <is>
          <t>Shared Details</t>
        </is>
      </c>
      <c r="H86" s="109" t="inlineStr">
        <is>
          <t>Other</t>
        </is>
      </c>
      <c r="I86" s="109" t="inlineStr">
        <is>
          <t>Other</t>
        </is>
      </c>
      <c r="J86" s="109" t="inlineStr"/>
      <c r="K86" s="109" t="inlineStr">
        <is>
          <t>Closed</t>
        </is>
      </c>
      <c r="L86" s="109" t="inlineStr">
        <is>
          <t>2026-05-14</t>
        </is>
      </c>
      <c r="M86" s="109" t="inlineStr">
        <is>
          <t>2026-05-16</t>
        </is>
      </c>
      <c r="N86" s="109" t="inlineStr">
        <is>
          <t>Nile Production Support</t>
        </is>
      </c>
      <c r="O86" s="109" t="inlineStr">
        <is>
          <t>Unassigned</t>
        </is>
      </c>
      <c r="P86" s="109" t="inlineStr">
        <is>
          <t>Free, Ann</t>
        </is>
      </c>
      <c r="Q86" s="109" t="inlineStr">
        <is>
          <t>Resolved</t>
        </is>
      </c>
      <c r="R86" s="47" t="inlineStr">
        <is>
          <t>Shared Details</t>
        </is>
      </c>
      <c r="S86" s="109" t="inlineStr"/>
      <c r="T86" s="109" t="inlineStr"/>
      <c r="U86" s="109" t="inlineStr"/>
      <c r="V86" s="110" t="inlineStr">
        <is>
          <t>Other</t>
        </is>
      </c>
      <c r="W86" s="109" t="inlineStr">
        <is>
          <t>Yes</t>
        </is>
      </c>
    </row>
    <row r="87">
      <c r="A87" s="107" t="inlineStr">
        <is>
          <t>IT-3057015</t>
        </is>
      </c>
      <c r="B87" s="107" t="inlineStr">
        <is>
          <t>IT-3057015</t>
        </is>
      </c>
      <c r="C87" s="107" t="inlineStr"/>
      <c r="D87" s="44" t="inlineStr">
        <is>
          <t>EXCCV- Excellus COB Bypass for RCCV</t>
        </is>
      </c>
      <c r="E87" s="44" t="inlineStr">
        <is>
          <t>Can we update the audit bypass code for exccv_inpatient_incoming* file If CH_OTHER_INSURANCE_INDICATOR= 1 then CH_AUDIT_BYPASS_CODE =1048575</t>
        </is>
      </c>
      <c r="F87" s="44" t="inlineStr">
        <is>
          <t>updated the change in UDC</t>
        </is>
      </c>
      <c r="G87" s="44" t="inlineStr">
        <is>
          <t>Change implemented. Pipeline completed for this month</t>
        </is>
      </c>
      <c r="H87" s="107" t="inlineStr">
        <is>
          <t>Other</t>
        </is>
      </c>
      <c r="I87" s="107" t="inlineStr">
        <is>
          <t>Other</t>
        </is>
      </c>
      <c r="J87" s="107" t="inlineStr"/>
      <c r="K87" s="107" t="inlineStr">
        <is>
          <t>Closed</t>
        </is>
      </c>
      <c r="L87" s="107" t="inlineStr">
        <is>
          <t>2026-05-14</t>
        </is>
      </c>
      <c r="M87" s="107" t="inlineStr">
        <is>
          <t>2026-05-20</t>
        </is>
      </c>
      <c r="N87" s="107" t="inlineStr">
        <is>
          <t>Nile Production Support</t>
        </is>
      </c>
      <c r="O87" s="107" t="inlineStr">
        <is>
          <t>Unassigned</t>
        </is>
      </c>
      <c r="P87" s="107" t="inlineStr">
        <is>
          <t>Varughese, Neena</t>
        </is>
      </c>
      <c r="Q87" s="107" t="inlineStr">
        <is>
          <t>Resolved</t>
        </is>
      </c>
      <c r="R87" s="44" t="inlineStr">
        <is>
          <t>updated the change in UDC</t>
        </is>
      </c>
      <c r="S87" s="107" t="inlineStr"/>
      <c r="T87" s="107" t="inlineStr"/>
      <c r="U87" s="107" t="inlineStr"/>
      <c r="V87" s="113" t="inlineStr">
        <is>
          <t>Other</t>
        </is>
      </c>
      <c r="W87" s="107" t="inlineStr">
        <is>
          <t>Yes</t>
        </is>
      </c>
    </row>
    <row r="88">
      <c r="A88" s="109" t="inlineStr">
        <is>
          <t>IT-3056921</t>
        </is>
      </c>
      <c r="B88" s="109" t="inlineStr">
        <is>
          <t>IT-3056921</t>
        </is>
      </c>
      <c r="C88" s="109" t="inlineStr"/>
      <c r="D88" s="47" t="inlineStr">
        <is>
          <t>geisinger-facets qc client EDA Setup</t>
        </is>
      </c>
      <c r="E88" s="47" t="inlineStr">
        <is>
          <t>geisinger-facets qc client EDA Setup</t>
        </is>
      </c>
      <c r="F88" s="47" t="inlineStr"/>
      <c r="G88" s="47" t="inlineStr">
        <is>
          <t>NAS Spooler created. NAS Folders created. EDA Setup done in Nile Pipeline EDA Enabled. Axway configured accordingly. sample file routed. File Source disabled.</t>
        </is>
      </c>
      <c r="H88" s="109" t="inlineStr">
        <is>
          <t>Other</t>
        </is>
      </c>
      <c r="I88" s="109" t="inlineStr">
        <is>
          <t>Other</t>
        </is>
      </c>
      <c r="J88" s="109" t="inlineStr"/>
      <c r="K88" s="109" t="inlineStr">
        <is>
          <t>Closed</t>
        </is>
      </c>
      <c r="L88" s="109" t="inlineStr">
        <is>
          <t>2026-05-14</t>
        </is>
      </c>
      <c r="M88" s="109" t="inlineStr">
        <is>
          <t>2026-05-14</t>
        </is>
      </c>
      <c r="N88" s="109" t="inlineStr">
        <is>
          <t>Nile Production Support</t>
        </is>
      </c>
      <c r="O88" s="109" t="inlineStr">
        <is>
          <t>Unassigned</t>
        </is>
      </c>
      <c r="P88" s="109" t="inlineStr">
        <is>
          <t>Jani, Shaik</t>
        </is>
      </c>
      <c r="Q88" s="109" t="inlineStr">
        <is>
          <t>Resolved</t>
        </is>
      </c>
      <c r="R88" s="47" t="inlineStr"/>
      <c r="S88" s="109" t="inlineStr"/>
      <c r="T88" s="109" t="inlineStr"/>
      <c r="U88" s="109" t="inlineStr"/>
      <c r="V88" s="118" t="inlineStr">
        <is>
          <t>Configuration Issue</t>
        </is>
      </c>
      <c r="W88" s="109" t="inlineStr"/>
    </row>
    <row r="89">
      <c r="A89" s="107" t="inlineStr">
        <is>
          <t>IT-3056916</t>
        </is>
      </c>
      <c r="B89" s="107" t="inlineStr">
        <is>
          <t>IT-3056916</t>
        </is>
      </c>
      <c r="C89" s="107" t="inlineStr"/>
      <c r="D89" s="44" t="inlineStr">
        <is>
          <t>cignamedicare-facets qc client EDA Setup</t>
        </is>
      </c>
      <c r="E89" s="44" t="inlineStr">
        <is>
          <t>cignamedicare-facets qc client EDA Setup</t>
        </is>
      </c>
      <c r="F89" s="44" t="inlineStr"/>
      <c r="G89" s="44" t="inlineStr">
        <is>
          <t>NAS Spooler Created NAS Folder Path created. Pipeline EDA Enabled. Axway Configured to push file to NAS Pre Prod path. Test file routed successfully.</t>
        </is>
      </c>
      <c r="H89" s="107" t="inlineStr">
        <is>
          <t>Other</t>
        </is>
      </c>
      <c r="I89" s="107" t="inlineStr">
        <is>
          <t>Other</t>
        </is>
      </c>
      <c r="J89" s="107" t="inlineStr"/>
      <c r="K89" s="107" t="inlineStr">
        <is>
          <t>Closed</t>
        </is>
      </c>
      <c r="L89" s="107" t="inlineStr">
        <is>
          <t>2026-05-14</t>
        </is>
      </c>
      <c r="M89" s="107" t="inlineStr">
        <is>
          <t>2026-05-14</t>
        </is>
      </c>
      <c r="N89" s="107" t="inlineStr">
        <is>
          <t>Nile Production Support</t>
        </is>
      </c>
      <c r="O89" s="107" t="inlineStr">
        <is>
          <t>Unassigned</t>
        </is>
      </c>
      <c r="P89" s="107" t="inlineStr">
        <is>
          <t>Jani, Shaik</t>
        </is>
      </c>
      <c r="Q89" s="107" t="inlineStr">
        <is>
          <t>Resolved</t>
        </is>
      </c>
      <c r="R89" s="44" t="inlineStr"/>
      <c r="S89" s="107" t="inlineStr"/>
      <c r="T89" s="107" t="inlineStr"/>
      <c r="U89" s="107" t="inlineStr"/>
      <c r="V89" s="115" t="inlineStr">
        <is>
          <t>Spooler issue</t>
        </is>
      </c>
      <c r="W89" s="107" t="inlineStr"/>
    </row>
    <row r="90">
      <c r="A90" s="109" t="inlineStr">
        <is>
          <t>IT-3056912</t>
        </is>
      </c>
      <c r="B90" s="109" t="inlineStr">
        <is>
          <t>IT-3056912</t>
        </is>
      </c>
      <c r="C90" s="109" t="inlineStr"/>
      <c r="D90" s="47" t="inlineStr">
        <is>
          <t>chcmd-qnxt qc client EDA Setup</t>
        </is>
      </c>
      <c r="E90" s="47" t="inlineStr">
        <is>
          <t>chcmd-qnxt qc client EDA Setup</t>
        </is>
      </c>
      <c r="F90" s="47" t="inlineStr"/>
      <c r="G90" s="47" t="inlineStr">
        <is>
          <t>NAS Spooler Created NAS Folder Path created. Pipeline EDA Enabled. Axway Configured to push file to NAS Pre Prod path. Test file routed successfully.</t>
        </is>
      </c>
      <c r="H90" s="109" t="inlineStr">
        <is>
          <t>Other</t>
        </is>
      </c>
      <c r="I90" s="109" t="inlineStr">
        <is>
          <t>Other</t>
        </is>
      </c>
      <c r="J90" s="109" t="inlineStr"/>
      <c r="K90" s="109" t="inlineStr">
        <is>
          <t>Closed</t>
        </is>
      </c>
      <c r="L90" s="109" t="inlineStr">
        <is>
          <t>2026-05-14</t>
        </is>
      </c>
      <c r="M90" s="109" t="inlineStr">
        <is>
          <t>2026-05-14</t>
        </is>
      </c>
      <c r="N90" s="109" t="inlineStr">
        <is>
          <t>Nile Production Support</t>
        </is>
      </c>
      <c r="O90" s="109" t="inlineStr">
        <is>
          <t>Unassigned</t>
        </is>
      </c>
      <c r="P90" s="109" t="inlineStr">
        <is>
          <t>Jani, Shaik</t>
        </is>
      </c>
      <c r="Q90" s="109" t="inlineStr">
        <is>
          <t>Resolved</t>
        </is>
      </c>
      <c r="R90" s="47" t="inlineStr"/>
      <c r="S90" s="109" t="inlineStr"/>
      <c r="T90" s="109" t="inlineStr"/>
      <c r="U90" s="109" t="inlineStr"/>
      <c r="V90" s="120" t="inlineStr">
        <is>
          <t>Spooler issue</t>
        </is>
      </c>
      <c r="W90" s="109" t="inlineStr"/>
    </row>
    <row r="91">
      <c r="A91" s="107" t="inlineStr">
        <is>
          <t>IT-3056908</t>
        </is>
      </c>
      <c r="B91" s="107" t="inlineStr">
        <is>
          <t>IT-3056908</t>
        </is>
      </c>
      <c r="C91" s="107" t="inlineStr"/>
      <c r="D91" s="44" t="inlineStr">
        <is>
          <t>chccm-qnxt qc client EDA Setup</t>
        </is>
      </c>
      <c r="E91" s="44" t="inlineStr">
        <is>
          <t>chccm-qnxt qc client EDA Setup</t>
        </is>
      </c>
      <c r="F91" s="44" t="inlineStr"/>
      <c r="G91" s="44" t="inlineStr">
        <is>
          <t>NAS Spooler Created NAS Folder Path created. Pipeline EDA Enabled. Axway Configured to push file to NAS Pre Prod path. Test file routed successfully.</t>
        </is>
      </c>
      <c r="H91" s="107" t="inlineStr">
        <is>
          <t>Other</t>
        </is>
      </c>
      <c r="I91" s="107" t="inlineStr">
        <is>
          <t>Other</t>
        </is>
      </c>
      <c r="J91" s="107" t="inlineStr"/>
      <c r="K91" s="107" t="inlineStr">
        <is>
          <t>Closed</t>
        </is>
      </c>
      <c r="L91" s="107" t="inlineStr">
        <is>
          <t>2026-05-14</t>
        </is>
      </c>
      <c r="M91" s="107" t="inlineStr">
        <is>
          <t>2026-05-14</t>
        </is>
      </c>
      <c r="N91" s="107" t="inlineStr">
        <is>
          <t>Nile Production Support</t>
        </is>
      </c>
      <c r="O91" s="107" t="inlineStr">
        <is>
          <t>Unassigned</t>
        </is>
      </c>
      <c r="P91" s="107" t="inlineStr">
        <is>
          <t>Jani, Shaik</t>
        </is>
      </c>
      <c r="Q91" s="107" t="inlineStr">
        <is>
          <t>Resolved</t>
        </is>
      </c>
      <c r="R91" s="44" t="inlineStr"/>
      <c r="S91" s="107" t="inlineStr"/>
      <c r="T91" s="107" t="inlineStr"/>
      <c r="U91" s="107" t="inlineStr"/>
      <c r="V91" s="115" t="inlineStr">
        <is>
          <t>Spooler issue</t>
        </is>
      </c>
      <c r="W91" s="107" t="inlineStr"/>
    </row>
    <row r="92">
      <c r="A92" s="109" t="inlineStr">
        <is>
          <t>IT-3056905</t>
        </is>
      </c>
      <c r="B92" s="109" t="inlineStr">
        <is>
          <t>IT-3056905</t>
        </is>
      </c>
      <c r="C92" s="109" t="inlineStr"/>
      <c r="D92" s="47" t="inlineStr">
        <is>
          <t>carefirst-facets qc client EDA Setup</t>
        </is>
      </c>
      <c r="E92" s="47" t="inlineStr">
        <is>
          <t>carefirst-facets qc client EDA Setup</t>
        </is>
      </c>
      <c r="F92" s="47" t="inlineStr"/>
      <c r="G92" s="47" t="inlineStr">
        <is>
          <t>NAS Spooler Created NAS Folder Path created. Pipeline EDA Enabled. Axway Configured to push file to NAS Pre Prod path. Test file routed successfully.</t>
        </is>
      </c>
      <c r="H92" s="109" t="inlineStr">
        <is>
          <t>Other</t>
        </is>
      </c>
      <c r="I92" s="109" t="inlineStr">
        <is>
          <t>Other</t>
        </is>
      </c>
      <c r="J92" s="109" t="inlineStr"/>
      <c r="K92" s="109" t="inlineStr">
        <is>
          <t>Closed</t>
        </is>
      </c>
      <c r="L92" s="109" t="inlineStr">
        <is>
          <t>2026-05-14</t>
        </is>
      </c>
      <c r="M92" s="109" t="inlineStr">
        <is>
          <t>2026-05-14</t>
        </is>
      </c>
      <c r="N92" s="109" t="inlineStr">
        <is>
          <t>Nile Production Support</t>
        </is>
      </c>
      <c r="O92" s="109" t="inlineStr">
        <is>
          <t>Unassigned</t>
        </is>
      </c>
      <c r="P92" s="109" t="inlineStr">
        <is>
          <t>Jani, Shaik</t>
        </is>
      </c>
      <c r="Q92" s="109" t="inlineStr">
        <is>
          <t>Resolved</t>
        </is>
      </c>
      <c r="R92" s="47" t="inlineStr"/>
      <c r="S92" s="109" t="inlineStr"/>
      <c r="T92" s="109" t="inlineStr"/>
      <c r="U92" s="109" t="inlineStr"/>
      <c r="V92" s="120" t="inlineStr">
        <is>
          <t>Spooler issue</t>
        </is>
      </c>
      <c r="W92" s="109" t="inlineStr"/>
    </row>
    <row r="93">
      <c r="A93" s="107" t="inlineStr">
        <is>
          <t>IT-3056901</t>
        </is>
      </c>
      <c r="B93" s="107" t="inlineStr">
        <is>
          <t>IT-3056901</t>
        </is>
      </c>
      <c r="C93" s="107" t="inlineStr"/>
      <c r="D93" s="44" t="inlineStr">
        <is>
          <t>caloptima-facets qc client EDA Setup</t>
        </is>
      </c>
      <c r="E93" s="44" t="inlineStr">
        <is>
          <t>caloptima-facets qc client EDA Setup</t>
        </is>
      </c>
      <c r="F93" s="44" t="inlineStr"/>
      <c r="G93" s="44" t="inlineStr">
        <is>
          <t>NAS Spooler Created NAS Folder Path created. Pipeline EDA Enabled. Axway Configured to push file to NAS Pre Prod path. Test file routed successfully.</t>
        </is>
      </c>
      <c r="H93" s="107" t="inlineStr">
        <is>
          <t>Other</t>
        </is>
      </c>
      <c r="I93" s="107" t="inlineStr">
        <is>
          <t>Other</t>
        </is>
      </c>
      <c r="J93" s="107" t="inlineStr"/>
      <c r="K93" s="107" t="inlineStr">
        <is>
          <t>Closed</t>
        </is>
      </c>
      <c r="L93" s="107" t="inlineStr">
        <is>
          <t>2026-05-14</t>
        </is>
      </c>
      <c r="M93" s="107" t="inlineStr">
        <is>
          <t>2026-05-14</t>
        </is>
      </c>
      <c r="N93" s="107" t="inlineStr">
        <is>
          <t>Nile Production Support</t>
        </is>
      </c>
      <c r="O93" s="107" t="inlineStr">
        <is>
          <t>Unassigned</t>
        </is>
      </c>
      <c r="P93" s="107" t="inlineStr">
        <is>
          <t>Jani, Shaik</t>
        </is>
      </c>
      <c r="Q93" s="107" t="inlineStr">
        <is>
          <t>Resolved</t>
        </is>
      </c>
      <c r="R93" s="44" t="inlineStr"/>
      <c r="S93" s="107" t="inlineStr"/>
      <c r="T93" s="107" t="inlineStr"/>
      <c r="U93" s="107" t="inlineStr"/>
      <c r="V93" s="115" t="inlineStr">
        <is>
          <t>Spooler issue</t>
        </is>
      </c>
      <c r="W93" s="107" t="inlineStr"/>
    </row>
    <row r="94">
      <c r="A94" s="109" t="inlineStr">
        <is>
          <t>IT-3056894</t>
        </is>
      </c>
      <c r="B94" s="109" t="inlineStr">
        <is>
          <t>IT-3056894</t>
        </is>
      </c>
      <c r="C94" s="109" t="inlineStr"/>
      <c r="D94" s="47" t="inlineStr">
        <is>
          <t>bcbssc-custom qc client EDA Setup</t>
        </is>
      </c>
      <c r="E94" s="47" t="inlineStr">
        <is>
          <t>bcbssc-custom qc client EDA Setup</t>
        </is>
      </c>
      <c r="F94" s="47" t="inlineStr"/>
      <c r="G94" s="47" t="inlineStr">
        <is>
          <t>NAS Spooler Created NAS Folder Path created. Pipeline EDA Enabled. Axway Configured to push file to NAS Pre Prod path. Test file routed successfully.</t>
        </is>
      </c>
      <c r="H94" s="109" t="inlineStr">
        <is>
          <t>Other</t>
        </is>
      </c>
      <c r="I94" s="109" t="inlineStr">
        <is>
          <t>Other</t>
        </is>
      </c>
      <c r="J94" s="109" t="inlineStr"/>
      <c r="K94" s="109" t="inlineStr">
        <is>
          <t>Closed</t>
        </is>
      </c>
      <c r="L94" s="109" t="inlineStr">
        <is>
          <t>2026-05-14</t>
        </is>
      </c>
      <c r="M94" s="109" t="inlineStr">
        <is>
          <t>2026-05-14</t>
        </is>
      </c>
      <c r="N94" s="109" t="inlineStr">
        <is>
          <t>Nile Production Support</t>
        </is>
      </c>
      <c r="O94" s="109" t="inlineStr">
        <is>
          <t>Unassigned</t>
        </is>
      </c>
      <c r="P94" s="109" t="inlineStr">
        <is>
          <t>Jani, Shaik</t>
        </is>
      </c>
      <c r="Q94" s="109" t="inlineStr">
        <is>
          <t>Resolved</t>
        </is>
      </c>
      <c r="R94" s="47" t="inlineStr"/>
      <c r="S94" s="109" t="inlineStr"/>
      <c r="T94" s="109" t="inlineStr"/>
      <c r="U94" s="109" t="inlineStr"/>
      <c r="V94" s="120" t="inlineStr">
        <is>
          <t>Spooler issue</t>
        </is>
      </c>
      <c r="W94" s="109" t="inlineStr"/>
    </row>
    <row r="95">
      <c r="A95" s="107" t="inlineStr">
        <is>
          <t>IT-3056891</t>
        </is>
      </c>
      <c r="B95" s="107" t="inlineStr">
        <is>
          <t>IT-3056891</t>
        </is>
      </c>
      <c r="C95" s="107" t="inlineStr"/>
      <c r="D95" s="44" t="inlineStr">
        <is>
          <t>bcbsnc-uatfacets qc client EDA Setup</t>
        </is>
      </c>
      <c r="E95" s="44" t="inlineStr">
        <is>
          <t>bcbsnc-uatfacets qc client EDA Setup</t>
        </is>
      </c>
      <c r="F95" s="44" t="inlineStr"/>
      <c r="G95" s="44" t="inlineStr">
        <is>
          <t>NAS Spooler Created NAS Folder Path created. Pipeline EDA Enabled. Axway Configured to push file to NAS Pre Prod path. Test file routed successfully.</t>
        </is>
      </c>
      <c r="H95" s="107" t="inlineStr">
        <is>
          <t>Other</t>
        </is>
      </c>
      <c r="I95" s="107" t="inlineStr">
        <is>
          <t>Other</t>
        </is>
      </c>
      <c r="J95" s="107" t="inlineStr"/>
      <c r="K95" s="107" t="inlineStr">
        <is>
          <t>Closed</t>
        </is>
      </c>
      <c r="L95" s="107" t="inlineStr">
        <is>
          <t>2026-05-14</t>
        </is>
      </c>
      <c r="M95" s="107" t="inlineStr">
        <is>
          <t>2026-05-14</t>
        </is>
      </c>
      <c r="N95" s="107" t="inlineStr">
        <is>
          <t>Nile Production Support</t>
        </is>
      </c>
      <c r="O95" s="107" t="inlineStr">
        <is>
          <t>Unassigned</t>
        </is>
      </c>
      <c r="P95" s="107" t="inlineStr">
        <is>
          <t>Jani, Shaik</t>
        </is>
      </c>
      <c r="Q95" s="107" t="inlineStr">
        <is>
          <t>Resolved</t>
        </is>
      </c>
      <c r="R95" s="44" t="inlineStr"/>
      <c r="S95" s="107" t="inlineStr"/>
      <c r="T95" s="107" t="inlineStr"/>
      <c r="U95" s="107" t="inlineStr"/>
      <c r="V95" s="115" t="inlineStr">
        <is>
          <t>Spooler issue</t>
        </is>
      </c>
      <c r="W95" s="107" t="inlineStr"/>
    </row>
    <row r="96">
      <c r="A96" s="109" t="inlineStr">
        <is>
          <t>IT-3056890</t>
        </is>
      </c>
      <c r="B96" s="109" t="inlineStr">
        <is>
          <t>IT-3056890</t>
        </is>
      </c>
      <c r="C96" s="109" t="inlineStr"/>
      <c r="D96" s="47" t="inlineStr">
        <is>
          <t>Security Health QC Client EDA Setup</t>
        </is>
      </c>
      <c r="E96" s="47" t="inlineStr">
        <is>
          <t>Security Health QC Client EDA Setup</t>
        </is>
      </c>
      <c r="F96" s="47" t="inlineStr"/>
      <c r="G96" s="47" t="inlineStr">
        <is>
          <t>NAS Spooler Created NAS Folder Path created. Pipeline EDA Enabled. Axway Configured to push file to NAS Pre Prod path. Test file routed successfully.</t>
        </is>
      </c>
      <c r="H96" s="109" t="inlineStr">
        <is>
          <t>Other</t>
        </is>
      </c>
      <c r="I96" s="109" t="inlineStr">
        <is>
          <t>Other</t>
        </is>
      </c>
      <c r="J96" s="109" t="inlineStr"/>
      <c r="K96" s="109" t="inlineStr">
        <is>
          <t>Closed</t>
        </is>
      </c>
      <c r="L96" s="109" t="inlineStr">
        <is>
          <t>2026-05-14</t>
        </is>
      </c>
      <c r="M96" s="109" t="inlineStr">
        <is>
          <t>2026-05-14</t>
        </is>
      </c>
      <c r="N96" s="109" t="inlineStr">
        <is>
          <t>Nile Production Support</t>
        </is>
      </c>
      <c r="O96" s="109" t="inlineStr">
        <is>
          <t>Unassigned</t>
        </is>
      </c>
      <c r="P96" s="109" t="inlineStr">
        <is>
          <t>Jani, Shaik</t>
        </is>
      </c>
      <c r="Q96" s="109" t="inlineStr">
        <is>
          <t>Resolved</t>
        </is>
      </c>
      <c r="R96" s="47" t="inlineStr"/>
      <c r="S96" s="109" t="inlineStr"/>
      <c r="T96" s="109" t="inlineStr"/>
      <c r="U96" s="109" t="inlineStr"/>
      <c r="V96" s="120" t="inlineStr">
        <is>
          <t>Spooler issue</t>
        </is>
      </c>
      <c r="W96" s="109" t="inlineStr"/>
    </row>
    <row r="97">
      <c r="A97" s="107" t="inlineStr">
        <is>
          <t>IT-3056889</t>
        </is>
      </c>
      <c r="B97" s="107" t="inlineStr">
        <is>
          <t>IT-3056889</t>
        </is>
      </c>
      <c r="C97" s="107" t="inlineStr"/>
      <c r="D97" s="44" t="inlineStr">
        <is>
          <t>Prospect Medical QC Client EDA Setup</t>
        </is>
      </c>
      <c r="E97" s="44" t="inlineStr">
        <is>
          <t>Prospect Medical QC Client EDA Setup</t>
        </is>
      </c>
      <c r="F97" s="44" t="inlineStr"/>
      <c r="G97" s="44" t="inlineStr">
        <is>
          <t>NAS Spooler Created NAS Folder Path created. Pipeline EDA Enabled. Axway Configured to push file to NAS Pre Prod path. Test file routed successfully.</t>
        </is>
      </c>
      <c r="H97" s="107" t="inlineStr">
        <is>
          <t>Other</t>
        </is>
      </c>
      <c r="I97" s="107" t="inlineStr">
        <is>
          <t>Other</t>
        </is>
      </c>
      <c r="J97" s="107" t="inlineStr"/>
      <c r="K97" s="107" t="inlineStr">
        <is>
          <t>Closed</t>
        </is>
      </c>
      <c r="L97" s="107" t="inlineStr">
        <is>
          <t>2026-05-14</t>
        </is>
      </c>
      <c r="M97" s="107" t="inlineStr">
        <is>
          <t>2026-05-14</t>
        </is>
      </c>
      <c r="N97" s="107" t="inlineStr">
        <is>
          <t>Nile Production Support</t>
        </is>
      </c>
      <c r="O97" s="107" t="inlineStr">
        <is>
          <t>Unassigned</t>
        </is>
      </c>
      <c r="P97" s="107" t="inlineStr">
        <is>
          <t>Jani, Shaik</t>
        </is>
      </c>
      <c r="Q97" s="107" t="inlineStr">
        <is>
          <t>Resolved</t>
        </is>
      </c>
      <c r="R97" s="44" t="inlineStr"/>
      <c r="S97" s="107" t="inlineStr"/>
      <c r="T97" s="107" t="inlineStr"/>
      <c r="U97" s="107" t="inlineStr"/>
      <c r="V97" s="115" t="inlineStr">
        <is>
          <t>Spooler issue</t>
        </is>
      </c>
      <c r="W97" s="107" t="inlineStr"/>
    </row>
    <row r="98">
      <c r="A98" s="109" t="inlineStr">
        <is>
          <t>IT-3056887</t>
        </is>
      </c>
      <c r="B98" s="109" t="inlineStr">
        <is>
          <t>IT-3056887</t>
        </is>
      </c>
      <c r="C98" s="109" t="inlineStr"/>
      <c r="D98" s="47" t="inlineStr">
        <is>
          <t>Premera QC Client EDA Setup</t>
        </is>
      </c>
      <c r="E98" s="47" t="inlineStr">
        <is>
          <t>Premera QC Client EDA Setup</t>
        </is>
      </c>
      <c r="F98" s="47" t="inlineStr"/>
      <c r="G98" s="47" t="inlineStr">
        <is>
          <t>NAS Spooler Created NAS Folder Path created. Pipeline EDA Enabled. Axway Configured to push file to NAS Pre Prod path. Test file routed successfully.</t>
        </is>
      </c>
      <c r="H98" s="109" t="inlineStr">
        <is>
          <t>Other</t>
        </is>
      </c>
      <c r="I98" s="109" t="inlineStr">
        <is>
          <t>Other</t>
        </is>
      </c>
      <c r="J98" s="109" t="inlineStr"/>
      <c r="K98" s="109" t="inlineStr">
        <is>
          <t>Closed</t>
        </is>
      </c>
      <c r="L98" s="109" t="inlineStr">
        <is>
          <t>2026-05-14</t>
        </is>
      </c>
      <c r="M98" s="109" t="inlineStr">
        <is>
          <t>2026-05-14</t>
        </is>
      </c>
      <c r="N98" s="109" t="inlineStr">
        <is>
          <t>Nile Production Support</t>
        </is>
      </c>
      <c r="O98" s="109" t="inlineStr">
        <is>
          <t>Unassigned</t>
        </is>
      </c>
      <c r="P98" s="109" t="inlineStr">
        <is>
          <t>Jani, Shaik</t>
        </is>
      </c>
      <c r="Q98" s="109" t="inlineStr">
        <is>
          <t>Resolved</t>
        </is>
      </c>
      <c r="R98" s="47" t="inlineStr"/>
      <c r="S98" s="109" t="inlineStr"/>
      <c r="T98" s="109" t="inlineStr"/>
      <c r="U98" s="109" t="inlineStr"/>
      <c r="V98" s="120" t="inlineStr">
        <is>
          <t>Spooler issue</t>
        </is>
      </c>
      <c r="W98" s="109" t="inlineStr"/>
    </row>
    <row r="99">
      <c r="A99" s="107" t="inlineStr">
        <is>
          <t>IT-3056885</t>
        </is>
      </c>
      <c r="B99" s="107" t="inlineStr">
        <is>
          <t>IT-3056885</t>
        </is>
      </c>
      <c r="C99" s="107" t="inlineStr"/>
      <c r="D99" s="44" t="inlineStr">
        <is>
          <t>P3 HealthPartner QC EDA Setup</t>
        </is>
      </c>
      <c r="E99" s="44" t="inlineStr">
        <is>
          <t>P3 HealthPartner QC EDA Setup Created NAS Spoolers and Folders. EDA Enabled Pipelines.</t>
        </is>
      </c>
      <c r="F99" s="44" t="inlineStr"/>
      <c r="G99" s="44" t="inlineStr">
        <is>
          <t>NAS Spooler created. NAS Folders created. EDA Setup done in Nile Pipeline EDA Enabled. Axway configured accordingly. sample file routed. File Source disabled.</t>
        </is>
      </c>
      <c r="H99" s="107" t="inlineStr">
        <is>
          <t>Other</t>
        </is>
      </c>
      <c r="I99" s="107" t="inlineStr">
        <is>
          <t>Other</t>
        </is>
      </c>
      <c r="J99" s="107" t="inlineStr"/>
      <c r="K99" s="107" t="inlineStr">
        <is>
          <t>Closed</t>
        </is>
      </c>
      <c r="L99" s="107" t="inlineStr">
        <is>
          <t>2026-05-14</t>
        </is>
      </c>
      <c r="M99" s="107" t="inlineStr">
        <is>
          <t>2026-05-14</t>
        </is>
      </c>
      <c r="N99" s="107" t="inlineStr">
        <is>
          <t>Nile Production Support</t>
        </is>
      </c>
      <c r="O99" s="107" t="inlineStr">
        <is>
          <t>Unassigned</t>
        </is>
      </c>
      <c r="P99" s="107" t="inlineStr">
        <is>
          <t>Jani, Shaik</t>
        </is>
      </c>
      <c r="Q99" s="107" t="inlineStr">
        <is>
          <t>Resolved</t>
        </is>
      </c>
      <c r="R99" s="44" t="inlineStr"/>
      <c r="S99" s="107" t="inlineStr"/>
      <c r="T99" s="107" t="inlineStr"/>
      <c r="U99" s="107" t="inlineStr"/>
      <c r="V99" s="123" t="inlineStr">
        <is>
          <t>Configuration Issue</t>
        </is>
      </c>
      <c r="W99" s="107" t="inlineStr"/>
    </row>
    <row r="100">
      <c r="A100" s="109" t="inlineStr">
        <is>
          <t>IT-3056876</t>
        </is>
      </c>
      <c r="B100" s="109" t="inlineStr">
        <is>
          <t>IT-3056876</t>
        </is>
      </c>
      <c r="C100" s="109" t="inlineStr"/>
      <c r="D100" s="47" t="inlineStr">
        <is>
          <t>Ticket Management Efforts- Nile PS</t>
        </is>
      </c>
      <c r="E100" s="47" t="inlineStr">
        <is>
          <t>Ticket Management Efforts- Nile PS</t>
        </is>
      </c>
      <c r="F100" s="47" t="inlineStr">
        <is>
          <t>Since this is just for efforts tracking. WIP is not applicable status.</t>
        </is>
      </c>
      <c r="G100" s="47" t="inlineStr"/>
      <c r="H100" s="109" t="inlineStr">
        <is>
          <t>Other</t>
        </is>
      </c>
      <c r="I100" s="109" t="inlineStr">
        <is>
          <t>Other</t>
        </is>
      </c>
      <c r="J100" s="109" t="inlineStr"/>
      <c r="K100" s="109" t="inlineStr">
        <is>
          <t>On Hold</t>
        </is>
      </c>
      <c r="L100" s="109" t="inlineStr">
        <is>
          <t>2026-05-14</t>
        </is>
      </c>
      <c r="M100" s="109" t="inlineStr">
        <is>
          <t>2026-05-25</t>
        </is>
      </c>
      <c r="N100" s="109" t="inlineStr">
        <is>
          <t>Nile Production Support</t>
        </is>
      </c>
      <c r="O100" s="109" t="inlineStr">
        <is>
          <t>Unassigned</t>
        </is>
      </c>
      <c r="P100" s="109" t="inlineStr">
        <is>
          <t>Jani, Shaik</t>
        </is>
      </c>
      <c r="Q100" s="109" t="inlineStr">
        <is>
          <t>Unresolved</t>
        </is>
      </c>
      <c r="R100" s="47" t="inlineStr">
        <is>
          <t>Since this is just for efforts tracking. WIP is not applicable status.</t>
        </is>
      </c>
      <c r="S100" s="109" t="inlineStr"/>
      <c r="T100" s="109" t="inlineStr"/>
      <c r="U100" s="109" t="inlineStr"/>
      <c r="V100" s="110" t="inlineStr">
        <is>
          <t>Other</t>
        </is>
      </c>
      <c r="W100" s="109" t="inlineStr">
        <is>
          <t>Yes</t>
        </is>
      </c>
    </row>
    <row r="101">
      <c r="A101" s="107" t="inlineStr">
        <is>
          <t>IT-3055318</t>
        </is>
      </c>
      <c r="B101" s="107" t="inlineStr">
        <is>
          <t>IT-3055318</t>
        </is>
      </c>
      <c r="C101" s="107" t="inlineStr"/>
      <c r="D101" s="44" t="inlineStr">
        <is>
          <t>Request to ingest Aetna TRAD CAQH file (04/17)</t>
        </is>
      </c>
      <c r="E101" s="44" t="inlineStr">
        <is>
          <t>Hello Nile team, Please ingest Aetna TRAD CAQH file:- COB Smart Cotiviti 04172026.zip. Client has renamed and resent the file (on 05/11) as we requested. Thanks, Teena.</t>
        </is>
      </c>
      <c r="F101" s="44" t="inlineStr">
        <is>
          <t>Hi Vandanath, Teena , We are not seeing the file in gad1plrcasf01.cotiviti.com server under /Aetna folder. Can you please check and confirm. I have just force-ran dm-aetna-traditional-actian_migration_caqh. Pipeline is in progress. Please keep an eye on it. Thank you File has been spooled in to wrong folder 20200417, Since our dataset start date is 20240101 need to move the file to correct date. Working with satish to copy the file to 20260417. 4/17 completed. You may now close out the ticket. thank you</t>
        </is>
      </c>
      <c r="G101" s="44" t="inlineStr">
        <is>
          <t>task completed</t>
        </is>
      </c>
      <c r="H101" s="107" t="inlineStr">
        <is>
          <t>Other</t>
        </is>
      </c>
      <c r="I101" s="107" t="inlineStr">
        <is>
          <t>Other</t>
        </is>
      </c>
      <c r="J101" s="107" t="inlineStr"/>
      <c r="K101" s="107" t="inlineStr">
        <is>
          <t>Closed</t>
        </is>
      </c>
      <c r="L101" s="107" t="inlineStr">
        <is>
          <t>2026-05-13</t>
        </is>
      </c>
      <c r="M101" s="107" t="inlineStr">
        <is>
          <t>2026-05-15</t>
        </is>
      </c>
      <c r="N101" s="107" t="inlineStr">
        <is>
          <t>Nile Production Support</t>
        </is>
      </c>
      <c r="O101" s="107" t="inlineStr">
        <is>
          <t>Unassigned</t>
        </is>
      </c>
      <c r="P101" s="107" t="inlineStr">
        <is>
          <t>Vandanath, Teena</t>
        </is>
      </c>
      <c r="Q101" s="107" t="inlineStr">
        <is>
          <t>Resolved</t>
        </is>
      </c>
      <c r="R101" s="44" t="inlineStr">
        <is>
          <t>Hi Vandanath, Teena , We are not seeing the file in gad1plrcasf01.cotiviti.com server under /Aetna folder. Can you please check and confirm. I have just force-ran dm-aetna-traditional-actian_migration_caqh. Pipeline is in progress. Please keep an eye on it. Thank you File has been spooled in to wrong folder 20200417, Since our dataset start date is 20240101 need to move the file to correct date. Working with satish to copy the file to 20260417. 4/17 completed. You may now close out the ticket. thank you</t>
        </is>
      </c>
      <c r="S101" s="107" t="inlineStr"/>
      <c r="T101" s="107" t="inlineStr"/>
      <c r="U101" s="107" t="inlineStr"/>
      <c r="V101" s="124" t="inlineStr">
        <is>
          <t>Issue Platform</t>
        </is>
      </c>
      <c r="W101" s="107" t="inlineStr"/>
    </row>
    <row r="102">
      <c r="A102" s="109" t="inlineStr">
        <is>
          <t>IT-3054623</t>
        </is>
      </c>
      <c r="B102" s="109" t="inlineStr">
        <is>
          <t>IT-3054623</t>
        </is>
      </c>
      <c r="C102" s="109" t="inlineStr"/>
      <c r="D102" s="47" t="inlineStr">
        <is>
          <t>Updating Tufts pipelines to point to DC-KAMET server instead of DC-HURRICANE effective 5/18/26.</t>
        </is>
      </c>
      <c r="E102" s="47" t="inlineStr">
        <is>
          <t>Tufts audit is migrating to new SQL servers (DC-KAMET and FLD-120) from DC-Hurricane and FLD-102 on May15th 2026. Therefore, we need to update Tufts data load pipelines (for the files in attached screenshots) to point to DC-KAMET to load files on this server effective May 18th, 2026.</t>
        </is>
      </c>
      <c r="F102" s="47" t="inlineStr">
        <is>
          <t>Waiting for Monday - 5/18</t>
        </is>
      </c>
      <c r="G102" s="47" t="inlineStr"/>
      <c r="H102" s="109" t="inlineStr">
        <is>
          <t>Other</t>
        </is>
      </c>
      <c r="I102" s="109" t="inlineStr">
        <is>
          <t>Other</t>
        </is>
      </c>
      <c r="J102" s="109" t="inlineStr"/>
      <c r="K102" s="109" t="inlineStr">
        <is>
          <t>On Hold</t>
        </is>
      </c>
      <c r="L102" s="109" t="inlineStr">
        <is>
          <t>2026-05-13</t>
        </is>
      </c>
      <c r="M102" s="109" t="inlineStr">
        <is>
          <t>2026-05-15</t>
        </is>
      </c>
      <c r="N102" s="109" t="inlineStr">
        <is>
          <t>Nile Production Support</t>
        </is>
      </c>
      <c r="O102" s="109" t="inlineStr">
        <is>
          <t>Unassigned</t>
        </is>
      </c>
      <c r="P102" s="109" t="inlineStr">
        <is>
          <t>Trivedi Shukla, Zarna</t>
        </is>
      </c>
      <c r="Q102" s="109" t="inlineStr">
        <is>
          <t>Unresolved</t>
        </is>
      </c>
      <c r="R102" s="47" t="inlineStr">
        <is>
          <t>Waiting for Monday - 5/18</t>
        </is>
      </c>
      <c r="S102" s="109" t="inlineStr"/>
      <c r="T102" s="109" t="inlineStr"/>
      <c r="U102" s="109" t="inlineStr"/>
      <c r="V102" s="122" t="inlineStr">
        <is>
          <t>Issue Platform</t>
        </is>
      </c>
      <c r="W102" s="109" t="inlineStr"/>
    </row>
    <row r="103">
      <c r="A103" s="107" t="inlineStr">
        <is>
          <t>IT-3054219</t>
        </is>
      </c>
      <c r="B103" s="107" t="inlineStr">
        <is>
          <t>IT-3054219</t>
        </is>
      </c>
      <c r="C103" s="107" t="inlineStr"/>
      <c r="D103" s="44" t="inlineStr">
        <is>
          <t>Excellus INSURANCE_LOB_SUBTYPE/Business Segments Needed</t>
        </is>
      </c>
      <c r="E103" s="44" t="inlineStr">
        <is>
          <t>Please provide all CLAIM_ID and INSURANCE_LOB_SUBTYPE where payer short=EXRRUN, EXRBC for claim dates before Jan 2025-June 2025.</t>
        </is>
      </c>
      <c r="F103" s="44" t="inlineStr">
        <is>
          <t>Hi Griffin, Lisa , Could you please clarify the requirements, is it claim dates before Jan 2025 or between Jan 2025 and June 2025? CLAIM_ID and INSURANCE_LOB_SUBTYPE: Fields that I will be using CH_CLIENT_CLAIM_ID, CH_INSURANCE_LOB_SUBTYPE respectively payer short: Field that I will be using CH_PAYER_SHORT claim dates : Field that I will be using CH_CLAIM_PAID_DATE Also, could you please confirm if these fields are as per the request made? cc: Devatha, Satish Hi. The claim dates should be Jan 2025 to June 2025. Thanks. Claims_Jan_Jun2025.xlsx We need the CH_CLIENT_CLAIM_ID and CH_INSURANCE_LOB_SUBTYPE where CH_PAYER_SHORT IN(EXRUN, EXRBC) and CH_CLIENT_CLAIM_ID= PAYER_CLAIM_ID from attached sheet Varughese, Neena , Griffin, Lisa I have prepared the report and have uploaded the file in the location: /user/sambeg.dhakal Could you please check this and if there is any issue could you please let me know. For now, closing this ticket cc: Del Rosario, Sylma Joy , Suryani, Melly , Devatha, Satish</t>
        </is>
      </c>
      <c r="G103" s="44" t="inlineStr">
        <is>
          <t>Report generated as requested.</t>
        </is>
      </c>
      <c r="H103" s="107" t="inlineStr">
        <is>
          <t>Other</t>
        </is>
      </c>
      <c r="I103" s="107" t="inlineStr">
        <is>
          <t>Other</t>
        </is>
      </c>
      <c r="J103" s="107" t="inlineStr"/>
      <c r="K103" s="107" t="inlineStr">
        <is>
          <t>Closed</t>
        </is>
      </c>
      <c r="L103" s="107" t="inlineStr">
        <is>
          <t>2026-05-13</t>
        </is>
      </c>
      <c r="M103" s="107" t="inlineStr">
        <is>
          <t>2026-05-19</t>
        </is>
      </c>
      <c r="N103" s="107" t="inlineStr">
        <is>
          <t>Nile Production Support</t>
        </is>
      </c>
      <c r="O103" s="107" t="inlineStr">
        <is>
          <t>Unassigned</t>
        </is>
      </c>
      <c r="P103" s="107" t="inlineStr">
        <is>
          <t>Griffin, Lisa</t>
        </is>
      </c>
      <c r="Q103" s="107" t="inlineStr">
        <is>
          <t>Resolved</t>
        </is>
      </c>
      <c r="R103" s="44" t="inlineStr">
        <is>
          <t>Hi Griffin, Lisa , Could you please clarify the requirements, is it claim dates before Jan 2025 or between Jan 2025 and June 2025? CLAIM_ID and INSURANCE_LOB_SUBTYPE: Fields that I will be using CH_CLIENT_CLAIM_ID, CH_INSURANCE_LOB_SUBTYPE respectively payer short: Field that I will be using CH_PAYER_SHORT claim dates : Field that I will be using CH_CLAIM_PAID_DATE Also, could you please confirm if these fields are as per the request made? cc: Devatha, Satish Hi. The claim dates should be Jan 2025 to June 2025. Thanks. Claims_Jan_Jun2025.xlsx We need the CH_CLIENT_CLAIM_ID and CH_INSURANCE_LOB_SUBTYPE where CH_PAYER_SHORT IN(EXRUN, EXRBC) and CH_CLIENT_CLAIM_ID= PAYER_CLAIM_ID from attached sheet Varughese, Neena , Griffin, Lisa I have prepared the report and have uploaded the file in the location: /user/sambeg.dhakal Could you please check this and if there is any issue could you please let me know. For now, closing this ticket cc: Del Rosario, Sylma Joy , Suryani, Melly , Devatha, Satish</t>
        </is>
      </c>
      <c r="S103" s="107" t="inlineStr"/>
      <c r="T103" s="107" t="inlineStr"/>
      <c r="U103" s="107" t="inlineStr"/>
      <c r="V103" s="113" t="inlineStr">
        <is>
          <t>Other</t>
        </is>
      </c>
      <c r="W103" s="107" t="inlineStr">
        <is>
          <t>Yes</t>
        </is>
      </c>
    </row>
    <row r="104">
      <c r="A104" s="109" t="inlineStr">
        <is>
          <t>IT-3053364</t>
        </is>
      </c>
      <c r="B104" s="109" t="inlineStr">
        <is>
          <t>IT-3053364</t>
        </is>
      </c>
      <c r="C104" s="109" t="inlineStr"/>
      <c r="D104" s="47" t="inlineStr">
        <is>
          <t>Unmatched prv raw data count - 20260510_1 - prod - dm-kaiser-wa-actian_migration_provider</t>
        </is>
      </c>
      <c r="E104" s="47" t="inlineStr">
        <is>
          <t>The pipeline below got failed due to unmatched record count, please investigate and suggest. Pipeline: dm-kaiser-wa-actian_migration_provider Email ref:Unmatched prv raw data count - 20260510_1 - prod - dm-kaiser-wa-actian_migration_provider</t>
        </is>
      </c>
      <c r="F104" s="47" t="inlineStr"/>
      <c r="G104" s="47" t="inlineStr"/>
      <c r="H104" s="109" t="inlineStr">
        <is>
          <t>Other</t>
        </is>
      </c>
      <c r="I104" s="109" t="inlineStr">
        <is>
          <t>Other</t>
        </is>
      </c>
      <c r="J104" s="109" t="inlineStr"/>
      <c r="K104" s="109" t="inlineStr">
        <is>
          <t>Open</t>
        </is>
      </c>
      <c r="L104" s="109" t="inlineStr">
        <is>
          <t>2026-05-13</t>
        </is>
      </c>
      <c r="M104" s="109" t="inlineStr">
        <is>
          <t>2026-05-13</t>
        </is>
      </c>
      <c r="N104" s="109" t="inlineStr">
        <is>
          <t>Nile Production Support</t>
        </is>
      </c>
      <c r="O104" s="109" t="inlineStr">
        <is>
          <t>Unassigned</t>
        </is>
      </c>
      <c r="P104" s="109" t="inlineStr">
        <is>
          <t>Bhattarai, Krishna</t>
        </is>
      </c>
      <c r="Q104" s="109" t="inlineStr">
        <is>
          <t>Unresolved</t>
        </is>
      </c>
      <c r="R104" s="47" t="inlineStr"/>
      <c r="S104" s="109" t="inlineStr"/>
      <c r="T104" s="109" t="inlineStr"/>
      <c r="U104" s="109" t="inlineStr"/>
      <c r="V104" s="125" t="inlineStr">
        <is>
          <t>Unmatched raw data count</t>
        </is>
      </c>
      <c r="W104" s="109" t="inlineStr"/>
    </row>
    <row r="105">
      <c r="A105" s="107" t="inlineStr">
        <is>
          <t>IT-3053360</t>
        </is>
      </c>
      <c r="B105" s="107" t="inlineStr">
        <is>
          <t>IT-3053360</t>
        </is>
      </c>
      <c r="C105" s="107" t="inlineStr"/>
      <c r="D105" s="44" t="inlineStr">
        <is>
          <t>File schema issue for dm-NHP-NHP-actian_migration_claims_medical_short_date</t>
        </is>
      </c>
      <c r="E105" s="44" t="inlineStr">
        <is>
          <t>Below pipeline got failed at DB Writer-push_to_server [db-writer] due to schema issue. Please investigate and suggest pipeline_name: dm-NHP-NHP-actian_migration_claims_medical_short_date</t>
        </is>
      </c>
      <c r="F105" s="44" t="inlineStr"/>
      <c r="G105" s="44" t="inlineStr"/>
      <c r="H105" s="107" t="inlineStr">
        <is>
          <t>Other</t>
        </is>
      </c>
      <c r="I105" s="107" t="inlineStr">
        <is>
          <t>Other</t>
        </is>
      </c>
      <c r="J105" s="107" t="inlineStr"/>
      <c r="K105" s="107" t="inlineStr">
        <is>
          <t>Open</t>
        </is>
      </c>
      <c r="L105" s="107" t="inlineStr">
        <is>
          <t>2026-05-13</t>
        </is>
      </c>
      <c r="M105" s="107" t="inlineStr">
        <is>
          <t>2026-05-13</t>
        </is>
      </c>
      <c r="N105" s="107" t="inlineStr">
        <is>
          <t>Nile Production Support</t>
        </is>
      </c>
      <c r="O105" s="107" t="inlineStr">
        <is>
          <t>Unassigned</t>
        </is>
      </c>
      <c r="P105" s="107" t="inlineStr">
        <is>
          <t>Bhattarai, Krishna</t>
        </is>
      </c>
      <c r="Q105" s="107" t="inlineStr">
        <is>
          <t>Unresolved</t>
        </is>
      </c>
      <c r="R105" s="44" t="inlineStr"/>
      <c r="S105" s="107" t="inlineStr"/>
      <c r="T105" s="107" t="inlineStr"/>
      <c r="U105" s="107" t="inlineStr"/>
      <c r="V105" s="126" t="inlineStr">
        <is>
          <t>Schema issue</t>
        </is>
      </c>
      <c r="W105" s="107" t="inlineStr"/>
    </row>
    <row r="106">
      <c r="A106" s="109" t="inlineStr">
        <is>
          <t>IT-3053358</t>
        </is>
      </c>
      <c r="B106" s="109" t="inlineStr">
        <is>
          <t>IT-3053358</t>
        </is>
      </c>
      <c r="C106" s="109" t="inlineStr"/>
      <c r="D106" s="47" t="inlineStr">
        <is>
          <t>BCBS_ND - OSCAR weekly pipelines failed due to unmatched raw data for 2026/05/06</t>
        </is>
      </c>
      <c r="E106" s="47" t="inlineStr">
        <is>
          <t>Pipelines: fwa-BCBSND-OSCAR_history_institutional_claims_GDF2_3 : File name bcsnd_postcheck_medical_claims_incoming_20260502_1.txt File header record count 436621 File trailer record count 436621 File data line count 430139 Ingested row count 430139 fwa-BCBSND-OSCAR_history_professional_claims_GDF2_3: File name bcsnd_postcheck_medical_claims_incoming_20260502_1.txt File header record count 436621 File trailer record count 436621 File data line count 430139 Ingested row count 430139 fwa-BCBSND-OSCAR_member_GDF2_3: File name bcsnd_memberenrollment_incoming_20260506_1.txt File header record count 3286935 File trailer record count 3286935 File data line count 3286935 Ingested row count 3286918</t>
        </is>
      </c>
      <c r="F106" s="47" t="inlineStr">
        <is>
          <t>looks like record counts in the raw files is not matching the file header counts. Requesting a replacement file from the CSM/CLIENT.</t>
        </is>
      </c>
      <c r="G106" s="47" t="inlineStr"/>
      <c r="H106" s="109" t="inlineStr">
        <is>
          <t>Other</t>
        </is>
      </c>
      <c r="I106" s="109" t="inlineStr">
        <is>
          <t>Other</t>
        </is>
      </c>
      <c r="J106" s="109" t="inlineStr"/>
      <c r="K106" s="109" t="inlineStr">
        <is>
          <t>In Progress (HD1)</t>
        </is>
      </c>
      <c r="L106" s="109" t="inlineStr">
        <is>
          <t>2026-05-13</t>
        </is>
      </c>
      <c r="M106" s="109" t="inlineStr">
        <is>
          <t>2026-05-14</t>
        </is>
      </c>
      <c r="N106" s="109" t="inlineStr">
        <is>
          <t>Nile Production Support</t>
        </is>
      </c>
      <c r="O106" s="109" t="inlineStr">
        <is>
          <t>Unassigned</t>
        </is>
      </c>
      <c r="P106" s="109" t="inlineStr">
        <is>
          <t>Raya, Birajan</t>
        </is>
      </c>
      <c r="Q106" s="109" t="inlineStr">
        <is>
          <t>Unresolved</t>
        </is>
      </c>
      <c r="R106" s="47" t="inlineStr">
        <is>
          <t>looks like record counts in the raw files is not matching the file header counts. Requesting a replacement file from the CSM/CLIENT.</t>
        </is>
      </c>
      <c r="S106" s="109" t="inlineStr"/>
      <c r="T106" s="109" t="inlineStr"/>
      <c r="U106" s="109" t="inlineStr"/>
      <c r="V106" s="127" t="inlineStr">
        <is>
          <t>Data Issue</t>
        </is>
      </c>
      <c r="W106" s="109" t="inlineStr"/>
    </row>
    <row r="107">
      <c r="A107" s="107" t="inlineStr">
        <is>
          <t>IT-3053298</t>
        </is>
      </c>
      <c r="B107" s="107" t="inlineStr">
        <is>
          <t>IT-3053298</t>
        </is>
      </c>
      <c r="C107" s="107" t="inlineStr"/>
      <c r="D107" s="44" t="inlineStr">
        <is>
          <t>Unmatched GDF and CDF data count - 20260512 - prod - fwa-samaritan-samaritan-history_professional_claims_GDF2_5_CDF2_5</t>
        </is>
      </c>
      <c r="E107" s="44" t="inlineStr">
        <is>
          <t>Pipeline got failed due to GDF count - CDF professional line count = 11, Please investigate and suggest. Pipeline: fwa-samaritan-samaritan-history_professional_claims_GDF2_5_CDF2_5 Email Ref: Unmatched GDF and CDF data count - 20260512 - prod - fwa-samaritan-samaritan-history_professional_claims_GDF2_5_CDF2_5</t>
        </is>
      </c>
      <c r="F107" s="44" t="inlineStr">
        <is>
          <t>I did some comparisons with previous unmatched data emails and found they are all within the ranges. Also, there is no specific email address to escalate this downstream. Override the parameter and ran the pipeline. Pipeline is running</t>
        </is>
      </c>
      <c r="G107" s="44" t="inlineStr">
        <is>
          <t>task completed</t>
        </is>
      </c>
      <c r="H107" s="107" t="inlineStr">
        <is>
          <t>Other</t>
        </is>
      </c>
      <c r="I107" s="107" t="inlineStr">
        <is>
          <t>Other</t>
        </is>
      </c>
      <c r="J107" s="107" t="inlineStr"/>
      <c r="K107" s="107" t="inlineStr">
        <is>
          <t>Closed</t>
        </is>
      </c>
      <c r="L107" s="107" t="inlineStr">
        <is>
          <t>2026-05-13</t>
        </is>
      </c>
      <c r="M107" s="107" t="inlineStr">
        <is>
          <t>2026-05-13</t>
        </is>
      </c>
      <c r="N107" s="107" t="inlineStr">
        <is>
          <t>Nile Production Support</t>
        </is>
      </c>
      <c r="O107" s="107" t="inlineStr">
        <is>
          <t>Unassigned</t>
        </is>
      </c>
      <c r="P107" s="107" t="inlineStr">
        <is>
          <t>Bhattarai, Krishna</t>
        </is>
      </c>
      <c r="Q107" s="107" t="inlineStr">
        <is>
          <t>Resolved</t>
        </is>
      </c>
      <c r="R107" s="44" t="inlineStr">
        <is>
          <t>I did some comparisons with previous unmatched data emails and found they are all within the ranges. Also, there is no specific email address to escalate this downstream. Override the parameter and ran the pipeline. Pipeline is running</t>
        </is>
      </c>
      <c r="S107" s="107" t="inlineStr"/>
      <c r="T107" s="107" t="inlineStr"/>
      <c r="U107" s="107" t="inlineStr"/>
      <c r="V107" s="128" t="inlineStr">
        <is>
          <t>Data Issue</t>
        </is>
      </c>
      <c r="W107" s="107" t="inlineStr"/>
    </row>
    <row r="108">
      <c r="A108" s="109" t="inlineStr">
        <is>
          <t>IT-3053234</t>
        </is>
      </c>
      <c r="B108" s="109" t="inlineStr">
        <is>
          <t>IT-3053234</t>
        </is>
      </c>
      <c r="C108" s="109" t="inlineStr"/>
      <c r="D108" s="47" t="inlineStr">
        <is>
          <t>Missing chcmd daily file for 11/05/2026 and 12/05/2026</t>
        </is>
      </c>
      <c r="E108" s="47" t="inlineStr">
        <is>
          <t>Hi Team, we haven't received the chcmd professional file for 11th and 12th, can you please check and advise. chcmd_daily_incoming_1</t>
        </is>
      </c>
      <c r="F108" s="47" t="inlineStr"/>
      <c r="G108" s="47" t="inlineStr"/>
      <c r="H108" s="109" t="inlineStr"/>
      <c r="I108" s="109" t="inlineStr"/>
      <c r="J108" s="109" t="inlineStr"/>
      <c r="K108" s="109" t="inlineStr">
        <is>
          <t>Active</t>
        </is>
      </c>
      <c r="L108" s="109" t="inlineStr">
        <is>
          <t>2026-05-13</t>
        </is>
      </c>
      <c r="M108" s="109" t="inlineStr">
        <is>
          <t>2026-05-13</t>
        </is>
      </c>
      <c r="N108" s="109" t="inlineStr">
        <is>
          <t>Nile Production Support</t>
        </is>
      </c>
      <c r="O108" s="109" t="inlineStr">
        <is>
          <t>Unassigned</t>
        </is>
      </c>
      <c r="P108" s="109" t="inlineStr">
        <is>
          <t>Katakam, Anilkumar</t>
        </is>
      </c>
      <c r="Q108" s="109" t="inlineStr">
        <is>
          <t>Unresolved</t>
        </is>
      </c>
      <c r="R108" s="47" t="inlineStr"/>
      <c r="S108" s="109" t="inlineStr"/>
      <c r="T108" s="109" t="inlineStr"/>
      <c r="U108" s="109" t="inlineStr"/>
      <c r="V108" s="110" t="inlineStr">
        <is>
          <t>Other</t>
        </is>
      </c>
      <c r="W108" s="109" t="inlineStr">
        <is>
          <t>Yes</t>
        </is>
      </c>
    </row>
    <row r="109">
      <c r="A109" s="107" t="inlineStr">
        <is>
          <t>IT-3053232</t>
        </is>
      </c>
      <c r="B109" s="107" t="inlineStr">
        <is>
          <t>IT-3053232</t>
        </is>
      </c>
      <c r="C109" s="107" t="inlineStr"/>
      <c r="D109" s="44" t="inlineStr">
        <is>
          <t>Missing cepca inpatient files for 10/05/2026 and 11/05/2026</t>
        </is>
      </c>
      <c r="E109" s="44" t="inlineStr">
        <is>
          <t>Hi Team, we haven't received the cepca inpatient file for 10th and 11th date, can you please check and advise. cepca_inpatient_incomin_1</t>
        </is>
      </c>
      <c r="F109" s="44" t="inlineStr">
        <is>
          <t>We have not received files from client. Already escalate it to client regarding missing files. Mail sub: Missing Files: centene-amysis daily 20260505 Awaiting client response on missing files</t>
        </is>
      </c>
      <c r="G109" s="44" t="inlineStr"/>
      <c r="H109" s="107" t="inlineStr"/>
      <c r="I109" s="107" t="inlineStr"/>
      <c r="J109" s="107" t="inlineStr"/>
      <c r="K109" s="107" t="inlineStr">
        <is>
          <t>Awaiting User Info</t>
        </is>
      </c>
      <c r="L109" s="107" t="inlineStr">
        <is>
          <t>2026-05-13</t>
        </is>
      </c>
      <c r="M109" s="107" t="inlineStr">
        <is>
          <t>2026-05-13</t>
        </is>
      </c>
      <c r="N109" s="107" t="inlineStr">
        <is>
          <t>Nile Production Support</t>
        </is>
      </c>
      <c r="O109" s="107" t="inlineStr">
        <is>
          <t>Unassigned</t>
        </is>
      </c>
      <c r="P109" s="107" t="inlineStr">
        <is>
          <t>Katakam, Anilkumar</t>
        </is>
      </c>
      <c r="Q109" s="107" t="inlineStr">
        <is>
          <t>Unresolved</t>
        </is>
      </c>
      <c r="R109" s="44" t="inlineStr">
        <is>
          <t>We have not received files from client. Already escalate it to client regarding missing files. Mail sub: Missing Files: centene-amysis daily 20260505 Awaiting client response on missing files</t>
        </is>
      </c>
      <c r="S109" s="107" t="inlineStr"/>
      <c r="T109" s="107" t="inlineStr"/>
      <c r="U109" s="107" t="inlineStr"/>
      <c r="V109" s="129" t="inlineStr">
        <is>
          <t>File Missing</t>
        </is>
      </c>
      <c r="W109" s="107" t="inlineStr"/>
    </row>
    <row r="110">
      <c r="A110" s="109" t="inlineStr">
        <is>
          <t>IT-3053230</t>
        </is>
      </c>
      <c r="B110" s="109" t="inlineStr">
        <is>
          <t>IT-3053230</t>
        </is>
      </c>
      <c r="C110" s="109" t="inlineStr"/>
      <c r="D110" s="47" t="inlineStr">
        <is>
          <t>dm-independence-ibc-actian_migration_notouch_BMC failed in data-preprocessor</t>
        </is>
      </c>
      <c r="E110" s="47" t="inlineStr">
        <is>
          <t>pipeline: dm-independence-ibc-actian_migration_notouch_BMC files available in spoolers for 05/06 and 05/12, ran for both the data date but failed. failed in Preprocessor-not_ebcdic [data-preprocessor] stage with error msg "Either the secret key necessary for decrypting the file(s) is not available, or the provided key is incorrect."</t>
        </is>
      </c>
      <c r="F110" s="47" t="inlineStr">
        <is>
          <t>pipeline processed successfully and proceed to close this ticket. pipeline completed</t>
        </is>
      </c>
      <c r="G110" s="47" t="inlineStr">
        <is>
          <t>pipeline completed</t>
        </is>
      </c>
      <c r="H110" s="109" t="inlineStr">
        <is>
          <t>Other</t>
        </is>
      </c>
      <c r="I110" s="109" t="inlineStr">
        <is>
          <t>Other</t>
        </is>
      </c>
      <c r="J110" s="109" t="inlineStr"/>
      <c r="K110" s="109" t="inlineStr">
        <is>
          <t>Closed</t>
        </is>
      </c>
      <c r="L110" s="109" t="inlineStr">
        <is>
          <t>2026-05-13</t>
        </is>
      </c>
      <c r="M110" s="109" t="inlineStr">
        <is>
          <t>2026-05-14</t>
        </is>
      </c>
      <c r="N110" s="109" t="inlineStr">
        <is>
          <t>Nile Production Support</t>
        </is>
      </c>
      <c r="O110" s="109" t="inlineStr">
        <is>
          <t>Unassigned</t>
        </is>
      </c>
      <c r="P110" s="109" t="inlineStr">
        <is>
          <t>Raya, Birajan</t>
        </is>
      </c>
      <c r="Q110" s="109" t="inlineStr">
        <is>
          <t>Resolved</t>
        </is>
      </c>
      <c r="R110" s="47" t="inlineStr">
        <is>
          <t>pipeline processed successfully and proceed to close this ticket. pipeline completed</t>
        </is>
      </c>
      <c r="S110" s="109" t="inlineStr"/>
      <c r="T110" s="109" t="inlineStr"/>
      <c r="U110" s="109" t="inlineStr"/>
      <c r="V110" s="120" t="inlineStr">
        <is>
          <t>Spooler issue</t>
        </is>
      </c>
      <c r="W110" s="109" t="inlineStr"/>
    </row>
    <row r="111">
      <c r="A111" s="107" t="inlineStr">
        <is>
          <t>IT-3053118</t>
        </is>
      </c>
      <c r="B111" s="107" t="inlineStr">
        <is>
          <t>IT-3053118</t>
        </is>
      </c>
      <c r="C111" s="107" t="inlineStr"/>
      <c r="D111" s="44" t="inlineStr">
        <is>
          <t>OLA config update for Multiple Clients</t>
        </is>
      </c>
      <c r="E111" s="44" t="inlineStr">
        <is>
          <t>Update OLA Configuration setup in ProdOps to avoid unnecessary pipeline status in monitoring tab. PPM Clients: bcbsnc - facets bcbssc - custom p3healthpartners - ezcap txchildrenhp-txchildrenhp fideliscare-facetsfidny hmsmc - qnxt</t>
        </is>
      </c>
      <c r="F111" s="44" t="inlineStr">
        <is>
          <t>started working on OLA update and monitoring for couple of clients. Keeping it on hold since working on other priority tasks.</t>
        </is>
      </c>
      <c r="G111" s="44" t="inlineStr"/>
      <c r="H111" s="107" t="inlineStr">
        <is>
          <t>Other</t>
        </is>
      </c>
      <c r="I111" s="107" t="inlineStr">
        <is>
          <t>Other</t>
        </is>
      </c>
      <c r="J111" s="107" t="inlineStr"/>
      <c r="K111" s="107" t="inlineStr">
        <is>
          <t>On Hold</t>
        </is>
      </c>
      <c r="L111" s="107" t="inlineStr">
        <is>
          <t>2026-05-13</t>
        </is>
      </c>
      <c r="M111" s="107" t="inlineStr">
        <is>
          <t>2026-05-19</t>
        </is>
      </c>
      <c r="N111" s="107" t="inlineStr">
        <is>
          <t>Nile Production Support</t>
        </is>
      </c>
      <c r="O111" s="107" t="inlineStr">
        <is>
          <t>Unassigned</t>
        </is>
      </c>
      <c r="P111" s="107" t="inlineStr">
        <is>
          <t>Kamsetty, Sravani</t>
        </is>
      </c>
      <c r="Q111" s="107" t="inlineStr">
        <is>
          <t>Unresolved</t>
        </is>
      </c>
      <c r="R111" s="44" t="inlineStr">
        <is>
          <t>started working on OLA update and monitoring for couple of clients. Keeping it on hold since working on other priority tasks.</t>
        </is>
      </c>
      <c r="S111" s="107" t="inlineStr"/>
      <c r="T111" s="107" t="inlineStr"/>
      <c r="U111" s="107" t="inlineStr"/>
      <c r="V111" s="123" t="inlineStr">
        <is>
          <t>Configuration Issue</t>
        </is>
      </c>
      <c r="W111" s="107" t="inlineStr"/>
    </row>
    <row r="112">
      <c r="A112" s="109" t="inlineStr">
        <is>
          <t>IT-3052577</t>
        </is>
      </c>
      <c r="B112" s="109" t="inlineStr">
        <is>
          <t>IT-3052577</t>
        </is>
      </c>
      <c r="C112" s="109" t="inlineStr"/>
      <c r="D112" s="47" t="inlineStr">
        <is>
          <t>Please move specified raw files from existing folder to new folder location provided</t>
        </is>
      </c>
      <c r="E112" s="47" t="inlineStr">
        <is>
          <t>Please move the two specified files from the current 20260120 folder to new folder location, 20260119. Please delete all 3 files from the 20260120 folder. This request is to resolve the processing of the new weekly cadence for MedA so that it resides with the Commercial data files. Current Folder Location New Folder Location /dataingestionqc/raw/restricted/256-bcbsla-facets/20260120/cotiviti_Claims_MA_260120.txt /dataingestionqc/raw/restricted/256-bcbsla-facets/20260119/cotiviti_Claims_MA_260120.txt /dataingestionqc/raw/restricted/256-bcbsla-facets/20260120/cotiviti_Enrollment_MA_260120.txt /dataingestionqc/raw/restricted/256-bcbsla-facets/20260119/cotiviti_Enrollment_MA_260120.txt /dataingestiondev/raw/restricted/425-bcbsla-facets/20260120/cotiviti_Claims_MA_260120.txt /dataingestiondev/raw/restricted/425-bcbsla-facets/20260119/cotiviti_Claims_MA_260120.txt /dataingestiondev/raw/restricted/425-bcbsla-facets/20260120/cotiviti_Enrollment_MA_260120.txt /dataingestiondev/raw/restricted/425-bcbsla-facets/20260119/cotiviti_Enrollment_MA_260120.txt</t>
        </is>
      </c>
      <c r="F112" s="47" t="inlineStr">
        <is>
          <t>Hi Gallegos, Diane Files are moved as requested Thanks</t>
        </is>
      </c>
      <c r="G112" s="47" t="inlineStr">
        <is>
          <t>Files are moved as requested</t>
        </is>
      </c>
      <c r="H112" s="109" t="inlineStr">
        <is>
          <t>Other</t>
        </is>
      </c>
      <c r="I112" s="109" t="inlineStr">
        <is>
          <t>Other</t>
        </is>
      </c>
      <c r="J112" s="109" t="inlineStr"/>
      <c r="K112" s="109" t="inlineStr">
        <is>
          <t>Closed</t>
        </is>
      </c>
      <c r="L112" s="109" t="inlineStr">
        <is>
          <t>2026-05-12</t>
        </is>
      </c>
      <c r="M112" s="109" t="inlineStr">
        <is>
          <t>2026-05-13</t>
        </is>
      </c>
      <c r="N112" s="109" t="inlineStr">
        <is>
          <t>Nile Production Support</t>
        </is>
      </c>
      <c r="O112" s="109" t="inlineStr">
        <is>
          <t>Unassigned</t>
        </is>
      </c>
      <c r="P112" s="109" t="inlineStr">
        <is>
          <t>Gallegos, Diane</t>
        </is>
      </c>
      <c r="Q112" s="109" t="inlineStr">
        <is>
          <t>Resolved</t>
        </is>
      </c>
      <c r="R112" s="47" t="inlineStr">
        <is>
          <t>Hi Gallegos, Diane Files are moved as requested Thanks</t>
        </is>
      </c>
      <c r="S112" s="109" t="inlineStr"/>
      <c r="T112" s="109" t="inlineStr"/>
      <c r="U112" s="109" t="inlineStr"/>
      <c r="V112" s="110" t="inlineStr">
        <is>
          <t>Other</t>
        </is>
      </c>
      <c r="W112" s="109" t="inlineStr">
        <is>
          <t>Yes</t>
        </is>
      </c>
    </row>
    <row r="113">
      <c r="A113" s="107" t="inlineStr">
        <is>
          <t>IT-3052340</t>
        </is>
      </c>
      <c r="B113" s="107" t="inlineStr">
        <is>
          <t>IT-3052340</t>
        </is>
      </c>
      <c r="C113" s="107" t="inlineStr"/>
      <c r="D113" s="44" t="inlineStr">
        <is>
          <t>Please re-ingest Independence Hold Code files from November 2025.</t>
        </is>
      </c>
      <c r="E113" s="44" t="inlineStr">
        <is>
          <t>Please re-ingest Independence Hold Code files from November 2025. Pipeline: dm-independence-ibc-actian_migration_holdcodes_new FileNames: con_hold_cd_extract_initial_r_20251105_184512.txt con_hold_cd_extract_initial_r_20251112_184516.txt con_hold_cd_extract_initial_r_20251119_183954.txt Target Table: IndependenceDataRaw.dbo.OSCAR_HoldCodes_Load_Monthly_Nov2025</t>
        </is>
      </c>
      <c r="F113" s="44" t="inlineStr"/>
      <c r="G113" s="44" t="inlineStr"/>
      <c r="H113" s="107" t="inlineStr">
        <is>
          <t>Other</t>
        </is>
      </c>
      <c r="I113" s="107" t="inlineStr">
        <is>
          <t>Other</t>
        </is>
      </c>
      <c r="J113" s="107" t="inlineStr"/>
      <c r="K113" s="107" t="inlineStr">
        <is>
          <t>Open</t>
        </is>
      </c>
      <c r="L113" s="107" t="inlineStr">
        <is>
          <t>2026-05-12</t>
        </is>
      </c>
      <c r="M113" s="107" t="inlineStr">
        <is>
          <t>2026-05-12</t>
        </is>
      </c>
      <c r="N113" s="107" t="inlineStr">
        <is>
          <t>Nile Production Support</t>
        </is>
      </c>
      <c r="O113" s="107" t="inlineStr">
        <is>
          <t>Unassigned</t>
        </is>
      </c>
      <c r="P113" s="107" t="inlineStr">
        <is>
          <t>Castro, Ronald</t>
        </is>
      </c>
      <c r="Q113" s="107" t="inlineStr">
        <is>
          <t>Unresolved</t>
        </is>
      </c>
      <c r="R113" s="44" t="inlineStr"/>
      <c r="S113" s="107" t="inlineStr"/>
      <c r="T113" s="107" t="inlineStr"/>
      <c r="U113" s="107" t="inlineStr"/>
      <c r="V113" s="113" t="inlineStr">
        <is>
          <t>Other</t>
        </is>
      </c>
      <c r="W113" s="107" t="inlineStr">
        <is>
          <t>Yes</t>
        </is>
      </c>
    </row>
    <row r="114">
      <c r="A114" s="109" t="inlineStr">
        <is>
          <t>IT-3052202</t>
        </is>
      </c>
      <c r="B114" s="109" t="inlineStr">
        <is>
          <t>IT-3052202</t>
        </is>
      </c>
      <c r="C114" s="109" t="inlineStr"/>
      <c r="D114" s="47" t="inlineStr">
        <is>
          <t>Please re-ingest Independence NoTouch files from the listed transmissions into separate temp tables.</t>
        </is>
      </c>
      <c r="E114" s="47" t="inlineStr">
        <is>
          <t>Please re-ingest Independence NoTouch files from the listed transmissions into separate temp tables. con_clm_return_file_20260414.txt ---&gt; IndependenceCnlySupport.dbo.NoTouch_260414 con_clm_return_file_20260428.txt ---&gt; IndependenceCnlySupport.dbo.NoTouch_260428 con_clm_return_file_20260501.txt ---&gt; IndependenceCnlySupport.dbo.NoTouch_260501 con_clm_return_file_20260504.txt ---&gt; IndependenceCnlySupport.dbo.NoTouch_260504 con_clm_return_file_20260506.txt ---&gt; IndependenceCnlySupport.dbo.NoTouch_260506</t>
        </is>
      </c>
      <c r="F114" s="47" t="inlineStr"/>
      <c r="G114" s="47" t="inlineStr"/>
      <c r="H114" s="109" t="inlineStr">
        <is>
          <t>Other</t>
        </is>
      </c>
      <c r="I114" s="109" t="inlineStr">
        <is>
          <t>Other</t>
        </is>
      </c>
      <c r="J114" s="109" t="inlineStr"/>
      <c r="K114" s="109" t="inlineStr">
        <is>
          <t>In Progress (HD1)</t>
        </is>
      </c>
      <c r="L114" s="109" t="inlineStr">
        <is>
          <t>2026-05-12</t>
        </is>
      </c>
      <c r="M114" s="109" t="inlineStr">
        <is>
          <t>2026-05-12</t>
        </is>
      </c>
      <c r="N114" s="109" t="inlineStr">
        <is>
          <t>Nile Production Support</t>
        </is>
      </c>
      <c r="O114" s="109" t="inlineStr">
        <is>
          <t>Unassigned</t>
        </is>
      </c>
      <c r="P114" s="109" t="inlineStr">
        <is>
          <t>Castro, Ronald</t>
        </is>
      </c>
      <c r="Q114" s="109" t="inlineStr">
        <is>
          <t>Unresolved</t>
        </is>
      </c>
      <c r="R114" s="47" t="inlineStr"/>
      <c r="S114" s="109" t="inlineStr"/>
      <c r="T114" s="109" t="inlineStr"/>
      <c r="U114" s="109" t="inlineStr"/>
      <c r="V114" s="120" t="inlineStr">
        <is>
          <t>Spooler issue</t>
        </is>
      </c>
      <c r="W114" s="109" t="inlineStr"/>
    </row>
    <row r="115">
      <c r="A115" s="107" t="inlineStr">
        <is>
          <t>IT-3052180</t>
        </is>
      </c>
      <c r="B115" s="107" t="inlineStr">
        <is>
          <t>IT-3052180</t>
        </is>
      </c>
      <c r="C115" s="107" t="inlineStr"/>
      <c r="D115" s="44" t="inlineStr">
        <is>
          <t>NHP UDC need to be updated in order to load the file</t>
        </is>
      </c>
      <c r="E115" s="44" t="inlineStr">
        <is>
          <t>please work with Sanjeeb as he already created the temporary table to load the file for NHP ( dm-NHP-NHP-actian_migration_claims_medical_short_date ) but UDC need to be changed to match with Sanjeeb table</t>
        </is>
      </c>
      <c r="F115" s="44" t="inlineStr">
        <is>
          <t>Received replacement file from client and processed Pipeline completed</t>
        </is>
      </c>
      <c r="G115" s="44" t="inlineStr">
        <is>
          <t>Received replacement file from client and processed Pipeline completed</t>
        </is>
      </c>
      <c r="H115" s="107" t="inlineStr">
        <is>
          <t>Other</t>
        </is>
      </c>
      <c r="I115" s="107" t="inlineStr">
        <is>
          <t>Other</t>
        </is>
      </c>
      <c r="J115" s="107" t="inlineStr"/>
      <c r="K115" s="107" t="inlineStr">
        <is>
          <t>Closed</t>
        </is>
      </c>
      <c r="L115" s="107" t="inlineStr">
        <is>
          <t>2026-05-12</t>
        </is>
      </c>
      <c r="M115" s="107" t="inlineStr">
        <is>
          <t>2026-05-13</t>
        </is>
      </c>
      <c r="N115" s="107" t="inlineStr">
        <is>
          <t>Nile Production Support</t>
        </is>
      </c>
      <c r="O115" s="107" t="inlineStr">
        <is>
          <t>Unassigned</t>
        </is>
      </c>
      <c r="P115" s="107" t="inlineStr">
        <is>
          <t>Kabeya, Joel</t>
        </is>
      </c>
      <c r="Q115" s="107" t="inlineStr">
        <is>
          <t>Resolved</t>
        </is>
      </c>
      <c r="R115" s="44" t="inlineStr">
        <is>
          <t>Received replacement file from client and processed Pipeline completed</t>
        </is>
      </c>
      <c r="S115" s="107" t="inlineStr"/>
      <c r="T115" s="107" t="inlineStr"/>
      <c r="U115" s="107" t="inlineStr"/>
      <c r="V115" s="113" t="inlineStr">
        <is>
          <t>Other</t>
        </is>
      </c>
      <c r="W115" s="107" t="inlineStr">
        <is>
          <t>Yes</t>
        </is>
      </c>
    </row>
    <row r="116">
      <c r="A116" s="109" t="inlineStr">
        <is>
          <t>IT-3051940</t>
        </is>
      </c>
      <c r="B116" s="109" t="inlineStr">
        <is>
          <t>IT-3051940</t>
        </is>
      </c>
      <c r="C116" s="109" t="inlineStr"/>
      <c r="D116" s="47" t="inlineStr">
        <is>
          <t>CareSource - Add Letter Plan Code Logic for new payer TriCare</t>
        </is>
      </c>
      <c r="E116" s="47" t="inlineStr">
        <is>
          <t>We are expanding CareSource and adding TriCare plan. We have a new Letter Plan Code mapping that needs to be incorporated into the CDF logic. If the payer short is CSTRI and the INSURANCE_LOB is CTSC, update the LETTER_PLAN_CODE field to CSTR01. This is also shown on the Crosswalk tab in the "CARHP - TBA_v2.3.1_to_GDF_v2.13_mapping_v3.xlsx" attached document. Please contact me with any questions.</t>
        </is>
      </c>
      <c r="F116" s="47" t="inlineStr">
        <is>
          <t>CARHP - TBA_v2.3.1_to_GDF_v2.13_Mapping_v3.xlsx (801 kB)</t>
        </is>
      </c>
      <c r="G116" s="47" t="inlineStr"/>
      <c r="H116" s="109" t="inlineStr">
        <is>
          <t>Other</t>
        </is>
      </c>
      <c r="I116" s="109" t="inlineStr">
        <is>
          <t>Other</t>
        </is>
      </c>
      <c r="J116" s="109" t="inlineStr"/>
      <c r="K116" s="109" t="inlineStr">
        <is>
          <t>In Progress (HD1)</t>
        </is>
      </c>
      <c r="L116" s="109" t="inlineStr">
        <is>
          <t>2026-05-12</t>
        </is>
      </c>
      <c r="M116" s="109" t="inlineStr">
        <is>
          <t>2026-05-19</t>
        </is>
      </c>
      <c r="N116" s="109" t="inlineStr">
        <is>
          <t>Nile Production Support</t>
        </is>
      </c>
      <c r="O116" s="109" t="inlineStr">
        <is>
          <t>Unassigned</t>
        </is>
      </c>
      <c r="P116" s="109" t="inlineStr">
        <is>
          <t>Goida, Paul</t>
        </is>
      </c>
      <c r="Q116" s="109" t="inlineStr">
        <is>
          <t>Unresolved</t>
        </is>
      </c>
      <c r="R116" s="47" t="inlineStr">
        <is>
          <t>CARHP - TBA_v2.3.1_to_GDF_v2.13_Mapping_v3.xlsx (801 kB)</t>
        </is>
      </c>
      <c r="S116" s="109" t="inlineStr"/>
      <c r="T116" s="109" t="inlineStr"/>
      <c r="U116" s="109" t="inlineStr"/>
      <c r="V116" s="118" t="inlineStr">
        <is>
          <t>Configuration Issue</t>
        </is>
      </c>
      <c r="W116" s="109" t="inlineStr"/>
    </row>
    <row r="117">
      <c r="A117" s="107" t="inlineStr">
        <is>
          <t>IT-3051896</t>
        </is>
      </c>
      <c r="B117" s="107" t="inlineStr">
        <is>
          <t>IT-3051896</t>
        </is>
      </c>
      <c r="C117" s="107" t="inlineStr"/>
      <c r="D117" s="44" t="inlineStr">
        <is>
          <t>HCSC_BackFill_Set_4_files process.</t>
        </is>
      </c>
      <c r="E117" s="44" t="inlineStr"/>
      <c r="F117" s="44" t="inlineStr">
        <is>
          <t>I have initiated the spoolers, and 45 out of 95 files have been spooled. A few spoolers failed, so I will verify and resubmit them. Once all the files are spooled into the folder, I will initiate the pipeline. we successfully spooled the files into the hdfs location and initiated the pipelines use verify the data and confirm it then i closed this ticket. we successfully processed the set4 pipelines and got the confirmation from the user.</t>
        </is>
      </c>
      <c r="G117" s="44" t="inlineStr">
        <is>
          <t>we successfully processed the set4 pipelines and got the confirmation from the user.</t>
        </is>
      </c>
      <c r="H117" s="107" t="inlineStr">
        <is>
          <t>Other</t>
        </is>
      </c>
      <c r="I117" s="107" t="inlineStr">
        <is>
          <t>Other</t>
        </is>
      </c>
      <c r="J117" s="107" t="inlineStr"/>
      <c r="K117" s="107" t="inlineStr">
        <is>
          <t>Closed</t>
        </is>
      </c>
      <c r="L117" s="107" t="inlineStr">
        <is>
          <t>2026-05-12</t>
        </is>
      </c>
      <c r="M117" s="107" t="inlineStr">
        <is>
          <t>2026-05-21</t>
        </is>
      </c>
      <c r="N117" s="107" t="inlineStr">
        <is>
          <t>Nile Production Support</t>
        </is>
      </c>
      <c r="O117" s="107" t="inlineStr">
        <is>
          <t>Unassigned</t>
        </is>
      </c>
      <c r="P117" s="107" t="inlineStr">
        <is>
          <t>Kantimahanti, Ravisankar</t>
        </is>
      </c>
      <c r="Q117" s="107" t="inlineStr">
        <is>
          <t>Done</t>
        </is>
      </c>
      <c r="R117" s="44" t="inlineStr">
        <is>
          <t>I have initiated the spoolers, and 45 out of 95 files have been spooled. A few spoolers failed, so I will verify and resubmit them. Once all the files are spooled into the folder, I will initiate the pipeline. we successfully spooled the files into the hdfs location and initiated the pipelines use verify the data and confirm it then i closed this ticket. we successfully processed the set4 pipelines and got the confirmation from the user.</t>
        </is>
      </c>
      <c r="S117" s="107" t="inlineStr"/>
      <c r="T117" s="107" t="inlineStr"/>
      <c r="U117" s="107" t="inlineStr"/>
      <c r="V117" s="115" t="inlineStr">
        <is>
          <t>Spooler issue</t>
        </is>
      </c>
      <c r="W117" s="107" t="inlineStr"/>
    </row>
    <row r="118">
      <c r="A118" s="109" t="inlineStr">
        <is>
          <t>IT-3051819</t>
        </is>
      </c>
      <c r="B118" s="109" t="inlineStr">
        <is>
          <t>IT-3051819</t>
        </is>
      </c>
      <c r="C118" s="109" t="inlineStr"/>
      <c r="D118" s="47" t="inlineStr">
        <is>
          <t>Please ingest an adhoc BCBS_TN Enrollment file using the current pipeline.</t>
        </is>
      </c>
      <c r="E118" s="47" t="inlineStr">
        <is>
          <t>Please ingest an adhoc BCBS_TN Enrollment file using the current pipeline. Pipeline: dm-bcbstn-bcbstn-actian_migration_member_enrollment Adhoc Filename: ENROLLMENT_BACK_SWEEP_MAY2023-APR2026_GBQ_20260507.tab Target Table: BCBS_TNDataRaw.dbo.Member_Enrollment_Load_Monthly_SWEEP260510</t>
        </is>
      </c>
      <c r="F118" s="47" t="inlineStr">
        <is>
          <t>adhoc ingestion completed for backsweep file to temp table</t>
        </is>
      </c>
      <c r="G118" s="47" t="inlineStr">
        <is>
          <t>adhoc ingestion completed for backsweep file to temp table</t>
        </is>
      </c>
      <c r="H118" s="109" t="inlineStr">
        <is>
          <t>Other</t>
        </is>
      </c>
      <c r="I118" s="109" t="inlineStr">
        <is>
          <t>Other</t>
        </is>
      </c>
      <c r="J118" s="109" t="inlineStr"/>
      <c r="K118" s="109" t="inlineStr">
        <is>
          <t>Closed</t>
        </is>
      </c>
      <c r="L118" s="109" t="inlineStr">
        <is>
          <t>2026-05-12</t>
        </is>
      </c>
      <c r="M118" s="109" t="inlineStr">
        <is>
          <t>2026-05-12</t>
        </is>
      </c>
      <c r="N118" s="109" t="inlineStr">
        <is>
          <t>Nile Production Support</t>
        </is>
      </c>
      <c r="O118" s="109" t="inlineStr">
        <is>
          <t>Unassigned</t>
        </is>
      </c>
      <c r="P118" s="109" t="inlineStr">
        <is>
          <t>Castro, Ronald</t>
        </is>
      </c>
      <c r="Q118" s="109" t="inlineStr">
        <is>
          <t>Resolved</t>
        </is>
      </c>
      <c r="R118" s="47" t="inlineStr">
        <is>
          <t>adhoc ingestion completed for backsweep file to temp table</t>
        </is>
      </c>
      <c r="S118" s="109" t="inlineStr"/>
      <c r="T118" s="109" t="inlineStr"/>
      <c r="U118" s="109" t="inlineStr"/>
      <c r="V118" s="110" t="inlineStr">
        <is>
          <t>Other</t>
        </is>
      </c>
      <c r="W118" s="109" t="inlineStr">
        <is>
          <t>Yes</t>
        </is>
      </c>
    </row>
    <row r="119">
      <c r="A119" s="107" t="inlineStr">
        <is>
          <t>IT-3051809</t>
        </is>
      </c>
      <c r="B119" s="107" t="inlineStr">
        <is>
          <t>IT-3051809</t>
        </is>
      </c>
      <c r="C119" s="107" t="inlineStr"/>
      <c r="D119" s="44" t="inlineStr">
        <is>
          <t>CareSource New market CCA MA</t>
        </is>
      </c>
      <c r="E119" s="44" t="inlineStr">
        <is>
          <t>CareSource is adding a new market (MA Commonwealth Care Alliance) to their data feed. Below are the details: Payer short CSDMA, which will map to ClientLOB Insurance ID is MA_DUAL which will map to GroupNum LOB is DUAL which will map as MCR to ClientDiv Test file has not been received yet CnlyExp is 24 months from paid date CnlyLag is 30 days from paid date Need test file made available in Hue for Ops sign off and validation once received and the above has been put into place. Once sign off is received, the client will send a backsweep file back to 1/1/2026</t>
        </is>
      </c>
      <c r="F119" s="44" t="inlineStr"/>
      <c r="G119" s="44" t="inlineStr"/>
      <c r="H119" s="107" t="inlineStr">
        <is>
          <t>Other</t>
        </is>
      </c>
      <c r="I119" s="107" t="inlineStr">
        <is>
          <t>Other</t>
        </is>
      </c>
      <c r="J119" s="107" t="inlineStr"/>
      <c r="K119" s="107" t="inlineStr">
        <is>
          <t>Open</t>
        </is>
      </c>
      <c r="L119" s="107" t="inlineStr">
        <is>
          <t>2026-05-12</t>
        </is>
      </c>
      <c r="M119" s="107" t="inlineStr">
        <is>
          <t>2026-05-13</t>
        </is>
      </c>
      <c r="N119" s="107" t="inlineStr">
        <is>
          <t>Nile Production Support</t>
        </is>
      </c>
      <c r="O119" s="107" t="inlineStr">
        <is>
          <t>Unassigned</t>
        </is>
      </c>
      <c r="P119" s="107" t="inlineStr">
        <is>
          <t>Nelson, Crystal</t>
        </is>
      </c>
      <c r="Q119" s="107" t="inlineStr">
        <is>
          <t>Unresolved</t>
        </is>
      </c>
      <c r="R119" s="44" t="inlineStr"/>
      <c r="S119" s="107" t="inlineStr"/>
      <c r="T119" s="107" t="inlineStr"/>
      <c r="U119" s="107" t="inlineStr"/>
      <c r="V119" s="113" t="inlineStr">
        <is>
          <t>Other</t>
        </is>
      </c>
      <c r="W119" s="107" t="inlineStr">
        <is>
          <t>Yes</t>
        </is>
      </c>
    </row>
    <row r="120">
      <c r="A120" s="109" t="inlineStr">
        <is>
          <t>IT-3051756</t>
        </is>
      </c>
      <c r="B120" s="109" t="inlineStr">
        <is>
          <t>IT-3051756</t>
        </is>
      </c>
      <c r="C120" s="109" t="inlineStr"/>
      <c r="D120" s="47" t="inlineStr">
        <is>
          <t>dm-independenthealth-hrp-actian_migration_provider | Data Date: 5/12/26 | Error Found</t>
        </is>
      </c>
      <c r="E120" s="47" t="inlineStr">
        <is>
          <t>Pipeline: dm-independenthealth-hrp-actian_migration_provider , Version: V1.2 , Data Date: 2026/05/12 Email Ref: Actian Migration - Errors Found 20260512 - 1 - prod - dm-independenthealth-hrp-actian_migration_provider Raw File Name: IH_COTIVITI_PRV.txt Error Description: MdcdId should have a maximum of 30 characters Error Counts: 3 EDM is requesting we increase the field on the source side. Thank you,</t>
        </is>
      </c>
      <c r="F120" s="47" t="inlineStr"/>
      <c r="G120" s="47" t="inlineStr">
        <is>
          <t>Applied the override param and ingested the file</t>
        </is>
      </c>
      <c r="H120" s="109" t="inlineStr">
        <is>
          <t>Other</t>
        </is>
      </c>
      <c r="I120" s="109" t="inlineStr">
        <is>
          <t>Other</t>
        </is>
      </c>
      <c r="J120" s="109" t="inlineStr"/>
      <c r="K120" s="109" t="inlineStr">
        <is>
          <t>Closed</t>
        </is>
      </c>
      <c r="L120" s="109" t="inlineStr">
        <is>
          <t>2026-05-12</t>
        </is>
      </c>
      <c r="M120" s="109" t="inlineStr">
        <is>
          <t>2026-05-12</t>
        </is>
      </c>
      <c r="N120" s="109" t="inlineStr">
        <is>
          <t>Nile Production Support</t>
        </is>
      </c>
      <c r="O120" s="109" t="inlineStr">
        <is>
          <t>Unassigned</t>
        </is>
      </c>
      <c r="P120" s="109" t="inlineStr">
        <is>
          <t>Enid Ike</t>
        </is>
      </c>
      <c r="Q120" s="109" t="inlineStr">
        <is>
          <t>Resolved</t>
        </is>
      </c>
      <c r="R120" s="47" t="inlineStr"/>
      <c r="S120" s="109" t="inlineStr"/>
      <c r="T120" s="109" t="inlineStr"/>
      <c r="U120" s="109" t="inlineStr"/>
      <c r="V120" s="122" t="inlineStr">
        <is>
          <t>Issue Platform</t>
        </is>
      </c>
      <c r="W120" s="109" t="inlineStr"/>
    </row>
    <row r="121">
      <c r="A121" s="107" t="inlineStr">
        <is>
          <t>IT-3051184</t>
        </is>
      </c>
      <c r="B121" s="107" t="inlineStr">
        <is>
          <t>IT-3051184</t>
        </is>
      </c>
      <c r="C121" s="107" t="inlineStr"/>
      <c r="D121" s="44" t="inlineStr">
        <is>
          <t>Copy files From Nile Prod Raw path to Nile QC Raw path - Aetna Trad</t>
        </is>
      </c>
      <c r="E121" s="44" t="inlineStr">
        <is>
          <t>Hi Team, Could you please copy the below mentioned files from the Nile PROD location to the Nile QC location? for the last week files, 05/04/2026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21" s="44" t="inlineStr">
        <is>
          <t>files copied please verify</t>
        </is>
      </c>
      <c r="G121" s="44" t="inlineStr">
        <is>
          <t>Files copied</t>
        </is>
      </c>
      <c r="H121" s="107" t="inlineStr">
        <is>
          <t>Other</t>
        </is>
      </c>
      <c r="I121" s="107" t="inlineStr">
        <is>
          <t>Other</t>
        </is>
      </c>
      <c r="J121" s="107" t="inlineStr"/>
      <c r="K121" s="107" t="inlineStr">
        <is>
          <t>Closed</t>
        </is>
      </c>
      <c r="L121" s="107" t="inlineStr">
        <is>
          <t>2026-05-12</t>
        </is>
      </c>
      <c r="M121" s="107" t="inlineStr">
        <is>
          <t>2026-05-12</t>
        </is>
      </c>
      <c r="N121" s="107" t="inlineStr">
        <is>
          <t>Nile Production Support</t>
        </is>
      </c>
      <c r="O121" s="107" t="inlineStr">
        <is>
          <t>Unassigned</t>
        </is>
      </c>
      <c r="P121" s="107" t="inlineStr">
        <is>
          <t>Shivalingu, Naveen</t>
        </is>
      </c>
      <c r="Q121" s="107" t="inlineStr">
        <is>
          <t>Resolved</t>
        </is>
      </c>
      <c r="R121" s="44" t="inlineStr">
        <is>
          <t>files copied please verify</t>
        </is>
      </c>
      <c r="S121" s="107" t="inlineStr"/>
      <c r="T121" s="107" t="inlineStr"/>
      <c r="U121" s="107" t="inlineStr"/>
      <c r="V121" s="113" t="inlineStr">
        <is>
          <t>Other</t>
        </is>
      </c>
      <c r="W121" s="107" t="inlineStr">
        <is>
          <t>Yes</t>
        </is>
      </c>
    </row>
    <row r="122">
      <c r="A122" s="109" t="inlineStr">
        <is>
          <t>IT-3050987</t>
        </is>
      </c>
      <c r="B122" s="109" t="inlineStr">
        <is>
          <t>IT-3050987</t>
        </is>
      </c>
      <c r="C122" s="109" t="inlineStr"/>
      <c r="D122" s="47" t="inlineStr">
        <is>
          <t>Kaiser - RCA Postpay Exclusion Criteria File</t>
        </is>
      </c>
      <c r="E122" s="47" t="inlineStr">
        <is>
          <t>This daily GDF file is created using the daily Kaiser file : OVERLAP_YYYYMMDD RCA Change Requested: For GDF field ‘EX_Client_Claim_ID’ current logic is excluding claims with Audit Type in ('TPL','Workers Compensation'); please remove this exclusion and let all claims into the GDF file for RCA. Only logic remaining should be a 1x1 mapping. New Logic: EX_CLIENT_CLAIM_ID = Dataset_Claim Number This is a client request and needs to be completed as quickly as possible.</t>
        </is>
      </c>
      <c r="F122" s="47" t="inlineStr">
        <is>
          <t>Hi, Looking in to it. Working on implementing the changes in the pipeline. This is Reg kaiser postpay exclusion file change request: https://jiraet.cotiviti.com/browse/IT-3050987 As per the current configurations in the nile, we see nile is not excluding claims with Audit Type in ('TPL','Workers Compensation'). I see we are generating all the claims without any filters. Please let me know if I am missing anything. Thanks. We can see that No data dropped from raw to processed. Closing the ticket, Please open a new ticket if needed. Thanks.</t>
        </is>
      </c>
      <c r="G122" s="47" t="inlineStr">
        <is>
          <t>Shared the required info and seems the logic is already in place. Hence, closing the ticket.</t>
        </is>
      </c>
      <c r="H122" s="109" t="inlineStr">
        <is>
          <t>Other</t>
        </is>
      </c>
      <c r="I122" s="109" t="inlineStr">
        <is>
          <t>Other</t>
        </is>
      </c>
      <c r="J122" s="109" t="inlineStr"/>
      <c r="K122" s="109" t="inlineStr">
        <is>
          <t>Closed</t>
        </is>
      </c>
      <c r="L122" s="109" t="inlineStr">
        <is>
          <t>2026-05-12</t>
        </is>
      </c>
      <c r="M122" s="109" t="inlineStr">
        <is>
          <t>2026-05-20</t>
        </is>
      </c>
      <c r="N122" s="109" t="inlineStr">
        <is>
          <t>Nile Production Support</t>
        </is>
      </c>
      <c r="O122" s="109" t="inlineStr">
        <is>
          <t>Unassigned</t>
        </is>
      </c>
      <c r="P122" s="109" t="inlineStr">
        <is>
          <t>Jones, Robyn</t>
        </is>
      </c>
      <c r="Q122" s="109" t="inlineStr">
        <is>
          <t>Resolved</t>
        </is>
      </c>
      <c r="R122" s="47" t="inlineStr">
        <is>
          <t>Hi, Looking in to it. Working on implementing the changes in the pipeline. This is Reg kaiser postpay exclusion file change request: https://jiraet.cotiviti.com/browse/IT-3050987 As per the current configurations in the nile, we see nile is not excluding claims with Audit Type in ('TPL','Workers Compensation'). I see we are generating all the claims without any filters. Please let me know if I am missing anything. Thanks. We can see that No data dropped from raw to processed. Closing the ticket, Please open a new ticket if needed. Thanks.</t>
        </is>
      </c>
      <c r="S122" s="109" t="inlineStr"/>
      <c r="T122" s="109" t="inlineStr"/>
      <c r="U122" s="109" t="inlineStr"/>
      <c r="V122" s="118" t="inlineStr">
        <is>
          <t>Configuration Issue</t>
        </is>
      </c>
      <c r="W122" s="109" t="inlineStr"/>
    </row>
    <row r="123">
      <c r="A123" s="107" t="inlineStr">
        <is>
          <t>IT-3050136</t>
        </is>
      </c>
      <c r="B123" s="107" t="inlineStr">
        <is>
          <t>IT-3050136</t>
        </is>
      </c>
      <c r="C123" s="107" t="inlineStr"/>
      <c r="D123" s="44" t="inlineStr">
        <is>
          <t>Creating, Testing, and production deployment of PPM Lean Ingestion pipelines for bcbssc-custom (history)</t>
        </is>
      </c>
      <c r="E123" s="44" t="inlineStr">
        <is>
          <t>Pipeline creation in Dev Testing and data comparison EDA enablement validation Migration to production Performing 1–2 successful validation runs before publishing Scheduling the pipelines Monitoring the pipeline runs</t>
        </is>
      </c>
      <c r="F123" s="44" t="inlineStr"/>
      <c r="G123" s="44" t="inlineStr">
        <is>
          <t>The pipelines were deployed to production and completed a couple of successful runs. Going forward, these pipelines will continue to be used.</t>
        </is>
      </c>
      <c r="H123" s="107" t="inlineStr">
        <is>
          <t>Other</t>
        </is>
      </c>
      <c r="I123" s="107" t="inlineStr">
        <is>
          <t>Other</t>
        </is>
      </c>
      <c r="J123" s="107" t="inlineStr"/>
      <c r="K123" s="107" t="inlineStr">
        <is>
          <t>In Progress (HD1)</t>
        </is>
      </c>
      <c r="L123" s="107" t="inlineStr">
        <is>
          <t>2026-05-12</t>
        </is>
      </c>
      <c r="M123" s="107" t="inlineStr">
        <is>
          <t>2026-05-13</t>
        </is>
      </c>
      <c r="N123" s="107" t="inlineStr">
        <is>
          <t>Nile Production Support</t>
        </is>
      </c>
      <c r="O123" s="107" t="inlineStr">
        <is>
          <t>Unassigned</t>
        </is>
      </c>
      <c r="P123" s="107" t="inlineStr">
        <is>
          <t>Karakavalasa, SriVarshini</t>
        </is>
      </c>
      <c r="Q123" s="107" t="inlineStr">
        <is>
          <t>Unresolved</t>
        </is>
      </c>
      <c r="R123" s="44" t="inlineStr"/>
      <c r="S123" s="107" t="inlineStr"/>
      <c r="T123" s="107" t="inlineStr"/>
      <c r="U123" s="107" t="inlineStr"/>
      <c r="V123" s="111" t="inlineStr">
        <is>
          <t>Pipeline Schedule</t>
        </is>
      </c>
      <c r="W123" s="107" t="inlineStr"/>
    </row>
    <row r="124">
      <c r="A124" s="109" t="inlineStr">
        <is>
          <t>IT-3050130</t>
        </is>
      </c>
      <c r="B124" s="109" t="inlineStr">
        <is>
          <t>IT-3050130</t>
        </is>
      </c>
      <c r="C124" s="109" t="inlineStr"/>
      <c r="D124" s="47" t="inlineStr">
        <is>
          <t>Testing, and production deployment of PPM Lean Ingestion pipelines for hcscgov-facets</t>
        </is>
      </c>
      <c r="E124" s="47" t="inlineStr">
        <is>
          <t>Pipeline creation in Dev Testing and data comparison EDA enablement validation Migration to production Performing 1–2 successful validation runs before publishing Scheduling the pipelines Monitoring the pipeline runs</t>
        </is>
      </c>
      <c r="F124" s="47" t="inlineStr"/>
      <c r="G124" s="47" t="inlineStr">
        <is>
          <t>The pipelines were deployed to production and completed a couple of successful runs. Going forward, these pipelines will continue to be used.</t>
        </is>
      </c>
      <c r="H124" s="109" t="inlineStr">
        <is>
          <t>Other</t>
        </is>
      </c>
      <c r="I124" s="109" t="inlineStr">
        <is>
          <t>Other</t>
        </is>
      </c>
      <c r="J124" s="109" t="inlineStr"/>
      <c r="K124" s="109" t="inlineStr">
        <is>
          <t>In Progress (HD1)</t>
        </is>
      </c>
      <c r="L124" s="109" t="inlineStr">
        <is>
          <t>2026-05-12</t>
        </is>
      </c>
      <c r="M124" s="109" t="inlineStr">
        <is>
          <t>2026-05-12</t>
        </is>
      </c>
      <c r="N124" s="109" t="inlineStr">
        <is>
          <t>Nile Production Support</t>
        </is>
      </c>
      <c r="O124" s="109" t="inlineStr">
        <is>
          <t>Unassigned</t>
        </is>
      </c>
      <c r="P124" s="109" t="inlineStr">
        <is>
          <t>Karakavalasa, SriVarshini</t>
        </is>
      </c>
      <c r="Q124" s="109" t="inlineStr">
        <is>
          <t>Unresolved</t>
        </is>
      </c>
      <c r="R124" s="47" t="inlineStr"/>
      <c r="S124" s="109" t="inlineStr"/>
      <c r="T124" s="109" t="inlineStr"/>
      <c r="U124" s="109" t="inlineStr"/>
      <c r="V124" s="112" t="inlineStr">
        <is>
          <t>Pipeline Schedule</t>
        </is>
      </c>
      <c r="W124" s="109" t="inlineStr"/>
    </row>
    <row r="125">
      <c r="A125" s="107" t="inlineStr">
        <is>
          <t>IT-3050125</t>
        </is>
      </c>
      <c r="B125" s="107" t="inlineStr">
        <is>
          <t>IT-3050125</t>
        </is>
      </c>
      <c r="C125" s="107" t="inlineStr"/>
      <c r="D125" s="44" t="inlineStr">
        <is>
          <t>Creation, testing, and production deployment of PPM Lean Ingestion pipelines for bcbsnc_facets</t>
        </is>
      </c>
      <c r="E125" s="44" t="inlineStr">
        <is>
          <t>Pipeline creation in Dev Testing and data comparison EDA enablement validation Migration to production Performing 1–2 successful validation runs before publishing Scheduling the pipelines Monitoring the pipeline runs</t>
        </is>
      </c>
      <c r="F125" s="44" t="inlineStr"/>
      <c r="G125" s="44" t="inlineStr">
        <is>
          <t>The pipelines were deployed to production and completed a couple of successful runs. Going forward, these pipelines will continue to be used.</t>
        </is>
      </c>
      <c r="H125" s="107" t="inlineStr">
        <is>
          <t>Other</t>
        </is>
      </c>
      <c r="I125" s="107" t="inlineStr">
        <is>
          <t>Other</t>
        </is>
      </c>
      <c r="J125" s="107" t="inlineStr"/>
      <c r="K125" s="107" t="inlineStr">
        <is>
          <t>Closed</t>
        </is>
      </c>
      <c r="L125" s="107" t="inlineStr">
        <is>
          <t>2026-05-12</t>
        </is>
      </c>
      <c r="M125" s="107" t="inlineStr">
        <is>
          <t>2026-05-12</t>
        </is>
      </c>
      <c r="N125" s="107" t="inlineStr">
        <is>
          <t>Nile Production Support</t>
        </is>
      </c>
      <c r="O125" s="107" t="inlineStr">
        <is>
          <t>Unassigned</t>
        </is>
      </c>
      <c r="P125" s="107" t="inlineStr">
        <is>
          <t>Karakavalasa, SriVarshini</t>
        </is>
      </c>
      <c r="Q125" s="107" t="inlineStr">
        <is>
          <t>Resolved</t>
        </is>
      </c>
      <c r="R125" s="44" t="inlineStr"/>
      <c r="S125" s="107" t="inlineStr"/>
      <c r="T125" s="107" t="inlineStr"/>
      <c r="U125" s="107" t="inlineStr"/>
      <c r="V125" s="111" t="inlineStr">
        <is>
          <t>Pipeline Schedule</t>
        </is>
      </c>
      <c r="W125" s="107" t="inlineStr"/>
    </row>
    <row r="126">
      <c r="A126" s="109" t="inlineStr">
        <is>
          <t>IT-3050058</t>
        </is>
      </c>
      <c r="B126" s="109" t="inlineStr">
        <is>
          <t>IT-3050058</t>
        </is>
      </c>
      <c r="C126" s="109" t="inlineStr"/>
      <c r="D126" s="47" t="inlineStr">
        <is>
          <t>rca_caresource_no_touch_update failed due to Post procedure failed, duplicate key value</t>
        </is>
      </c>
      <c r="E126" s="47" t="inlineStr">
        <is>
          <t>pipeline: rca_caresource_no_touch_update failed in DB Writer-CnlyClaimsNoTouch [db-writer] error msg: "Post procedure failed: SP: sp_DataSwap_NileStage_to_TargetError 2627, Severity 14, State 1, Line 1, MSG: Violation of PRIMARY KEY constraint 'PK_ CnlyClai _DE549EBE9D47991F'. Cannot insert duplicate key in object 'dbo.CnlyClaimsNoTouch'. The duplicate key value is (802508400800, Oct 7 2021 12:00AM, Provider Exclusion)." Please have a look into the data for analysis</t>
        </is>
      </c>
      <c r="F126" s="47" t="inlineStr">
        <is>
          <t>There are dup keys which is why the pipeline is getting failed, need to ask for replacement file. Since it's restricted client will check with satish/din to check the data and then we can ask for file. Thanks. Please go ahead and ask for replacement file as I mentioned in the chat earlier.</t>
        </is>
      </c>
      <c r="G126" s="47" t="inlineStr">
        <is>
          <t>There are dup keys which is why the pipeline is getting failed, need to ask for replacement file.</t>
        </is>
      </c>
      <c r="H126" s="109" t="inlineStr">
        <is>
          <t>Other</t>
        </is>
      </c>
      <c r="I126" s="109" t="inlineStr">
        <is>
          <t>Other</t>
        </is>
      </c>
      <c r="J126" s="109" t="inlineStr"/>
      <c r="K126" s="109" t="inlineStr">
        <is>
          <t>Closed</t>
        </is>
      </c>
      <c r="L126" s="109" t="inlineStr">
        <is>
          <t>2026-05-12</t>
        </is>
      </c>
      <c r="M126" s="109" t="inlineStr">
        <is>
          <t>2026-05-13</t>
        </is>
      </c>
      <c r="N126" s="109" t="inlineStr">
        <is>
          <t>Nile Production Support</t>
        </is>
      </c>
      <c r="O126" s="109" t="inlineStr">
        <is>
          <t>Unassigned</t>
        </is>
      </c>
      <c r="P126" s="109" t="inlineStr">
        <is>
          <t>Raya, Birajan</t>
        </is>
      </c>
      <c r="Q126" s="109" t="inlineStr">
        <is>
          <t>Resolved</t>
        </is>
      </c>
      <c r="R126" s="47" t="inlineStr">
        <is>
          <t>There are dup keys which is why the pipeline is getting failed, need to ask for replacement file. Since it's restricted client will check with satish/din to check the data and then we can ask for file. Thanks. Please go ahead and ask for replacement file as I mentioned in the chat earlier.</t>
        </is>
      </c>
      <c r="S126" s="109" t="inlineStr"/>
      <c r="T126" s="109" t="inlineStr"/>
      <c r="U126" s="109" t="inlineStr"/>
      <c r="V126" s="110" t="inlineStr">
        <is>
          <t>Other</t>
        </is>
      </c>
      <c r="W126" s="109" t="inlineStr">
        <is>
          <t>Yes</t>
        </is>
      </c>
    </row>
    <row r="127">
      <c r="A127" s="107" t="inlineStr">
        <is>
          <t>IT-3050033</t>
        </is>
      </c>
      <c r="B127" s="107" t="inlineStr">
        <is>
          <t>IT-3050033</t>
        </is>
      </c>
      <c r="C127" s="107" t="inlineStr"/>
      <c r="D127" s="44" t="inlineStr">
        <is>
          <t>Multiple pipelines failure in shell-executor stage</t>
        </is>
      </c>
      <c r="E127" s="44" t="inlineStr">
        <is>
          <t>Multiple client pipelines are failing at the shell-executor stage across multiple instances. After analyzing the data files and pipeline configurations, we performed force runs for the affected pipelines, and the processes completed successfully. Further analysis indicates that the failures are occurring specifically at the shell-executor stage, while the underlying data files and configurations appear to be valid. Action Required: Perform proper analysis for each failed pipeline instance. Manually rerun the impacted pipelines after validation. Monitor subsequent executions to identify any recurring shell-executor stage failures.</t>
        </is>
      </c>
      <c r="F127" s="44" t="inlineStr">
        <is>
          <t>we have faced the issues on below mentioned pipelines and after force run it got completed: dm-centene-healthnet-actian_migration_HNT_provider dm-uhc-cirrus-actian_migration_provider_process_exception dm-uhc-cirrus-actian_migration_entity_cir_claim_provider dm-uhc-cirrus-actian_migration_entity_cir_cladeny dm-wellcare-wellcare-actian_migration_Prov_Addr rccv-bsw-hrp-history_institutional_claims_processed_GDF2_9_CDF2_9 Restarted the pipelines with force run which were failed under shell executor stage.</t>
        </is>
      </c>
      <c r="G127" s="44" t="inlineStr">
        <is>
          <t>we have faced the issues on below mentioned pipelines and after force run it got completed: dm-centene-healthnet-actian_migration_HNT_provider dm-uhc-cirrus-actian_migration_provider_process_exception dm-uhc-cirrus-actian_migration_entity_cir_claim_provider dm-uhc-cirrus-actian_migration_entity_cir_cladeny dm-wellcare-wellcare-actian_migration_Prov_Addr rccv-bsw-hrp-history_institutional_claims_processed_GDF2_9_CDF2_9</t>
        </is>
      </c>
      <c r="H127" s="107" t="inlineStr">
        <is>
          <t>Other</t>
        </is>
      </c>
      <c r="I127" s="107" t="inlineStr">
        <is>
          <t>Other</t>
        </is>
      </c>
      <c r="J127" s="107" t="inlineStr"/>
      <c r="K127" s="107" t="inlineStr">
        <is>
          <t>Closed</t>
        </is>
      </c>
      <c r="L127" s="107" t="inlineStr">
        <is>
          <t>2026-05-12</t>
        </is>
      </c>
      <c r="M127" s="107" t="inlineStr">
        <is>
          <t>2026-05-18</t>
        </is>
      </c>
      <c r="N127" s="107" t="inlineStr">
        <is>
          <t>Nile Production Support</t>
        </is>
      </c>
      <c r="O127" s="107" t="inlineStr">
        <is>
          <t>Unassigned</t>
        </is>
      </c>
      <c r="P127" s="107" t="inlineStr">
        <is>
          <t>Raya, Birajan</t>
        </is>
      </c>
      <c r="Q127" s="107" t="inlineStr">
        <is>
          <t>Resolved</t>
        </is>
      </c>
      <c r="R127" s="44" t="inlineStr">
        <is>
          <t>we have faced the issues on below mentioned pipelines and after force run it got completed: dm-centene-healthnet-actian_migration_HNT_provider dm-uhc-cirrus-actian_migration_provider_process_exception dm-uhc-cirrus-actian_migration_entity_cir_claim_provider dm-uhc-cirrus-actian_migration_entity_cir_cladeny dm-wellcare-wellcare-actian_migration_Prov_Addr rccv-bsw-hrp-history_institutional_claims_processed_GDF2_9_CDF2_9 Restarted the pipelines with force run which were failed under shell executor stage.</t>
        </is>
      </c>
      <c r="S127" s="107" t="inlineStr"/>
      <c r="T127" s="107" t="inlineStr"/>
      <c r="U127" s="107" t="inlineStr"/>
      <c r="V127" s="111" t="inlineStr">
        <is>
          <t>Pipeline Schedule</t>
        </is>
      </c>
      <c r="W127" s="107" t="inlineStr"/>
    </row>
    <row r="128">
      <c r="A128" s="109" t="inlineStr">
        <is>
          <t>IT-3050022</t>
        </is>
      </c>
      <c r="B128" s="109" t="inlineStr">
        <is>
          <t>IT-3050022</t>
        </is>
      </c>
      <c r="C128" s="109" t="inlineStr"/>
      <c r="D128" s="47" t="inlineStr">
        <is>
          <t>rca_caresource_caresource_claims_incremental_load pipeline got failed due to test file in prod</t>
        </is>
      </c>
      <c r="E128" s="47" t="inlineStr">
        <is>
          <t>Pipeline: rca_caresource_caresource_claims_incremental_load_20230619 got failed in DB Writer-CnlyClaimsFinalAction [db-writer] stage with error msg "Post procedure failed: SP: sp_DataSwap_NileStage_to_TargetError 2627, Severity 14, State 1, Line 1, MSG: Violation of PRIMARY KEY constraint 'PK_ CnlyClai _020BB4A86CC8EE92'. Cannot insert duplicate key in object 'dbo.CnlyClaimsFinalAction'. The duplicate key value is (132344896200)." Please do have a analysis on the issue, and provide us the updates.</t>
        </is>
      </c>
      <c r="F128" s="47" t="inlineStr">
        <is>
          <t>Hi Raya, Birajan AS i mentioned in the stand up, 2 issues are there 1. test files are spooled to production, need to clean up 2. currently backfill is performing by Naga swetha, after completion need to clean up test files and rerun the pipeline Swetha completed path/Backfill Nile pipelines are started now Pipeline completed for 20250506 and 20260509 is running Cleaned up test file related ingestion from Nile All pending claims pipelines are completed</t>
        </is>
      </c>
      <c r="G128" s="47" t="inlineStr">
        <is>
          <t>pipeline completed</t>
        </is>
      </c>
      <c r="H128" s="109" t="inlineStr">
        <is>
          <t>Other</t>
        </is>
      </c>
      <c r="I128" s="109" t="inlineStr">
        <is>
          <t>Other</t>
        </is>
      </c>
      <c r="J128" s="109" t="inlineStr"/>
      <c r="K128" s="109" t="inlineStr">
        <is>
          <t>Closed</t>
        </is>
      </c>
      <c r="L128" s="109" t="inlineStr">
        <is>
          <t>2026-05-12</t>
        </is>
      </c>
      <c r="M128" s="109" t="inlineStr">
        <is>
          <t>2026-05-19</t>
        </is>
      </c>
      <c r="N128" s="109" t="inlineStr">
        <is>
          <t>Nile Production Support</t>
        </is>
      </c>
      <c r="O128" s="109" t="inlineStr">
        <is>
          <t>Unassigned</t>
        </is>
      </c>
      <c r="P128" s="109" t="inlineStr">
        <is>
          <t>Raya, Birajan</t>
        </is>
      </c>
      <c r="Q128" s="109" t="inlineStr">
        <is>
          <t>Resolved</t>
        </is>
      </c>
      <c r="R128" s="47" t="inlineStr">
        <is>
          <t>Hi Raya, Birajan AS i mentioned in the stand up, 2 issues are there 1. test files are spooled to production, need to clean up 2. currently backfill is performing by Naga swetha, after completion need to clean up test files and rerun the pipeline Swetha completed path/Backfill Nile pipelines are started now Pipeline completed for 20250506 and 20260509 is running Cleaned up test file related ingestion from Nile All pending claims pipelines are completed</t>
        </is>
      </c>
      <c r="S128" s="109" t="inlineStr"/>
      <c r="T128" s="109" t="inlineStr"/>
      <c r="U128" s="109" t="inlineStr"/>
      <c r="V128" s="112" t="inlineStr">
        <is>
          <t>Pipeline Schedule</t>
        </is>
      </c>
      <c r="W128" s="109" t="inlineStr"/>
    </row>
    <row r="129">
      <c r="A129" s="107" t="inlineStr">
        <is>
          <t>IT-3049984</t>
        </is>
      </c>
      <c r="B129" s="107" t="inlineStr">
        <is>
          <t>IT-3049984</t>
        </is>
      </c>
      <c r="C129" s="107" t="inlineStr"/>
      <c r="D129" s="44" t="inlineStr">
        <is>
          <t>Unmatched claimsheader_ark raw data count - 20260511_1 - prod - dm-wellcare-wellcare-mem_prov_claims_ingestion</t>
        </is>
      </c>
      <c r="E129" s="44" t="inlineStr">
        <is>
          <t>File name(s) CLAIM_HEADER_20260511070050798_0.txt Rejected records Impala table prod_niledataingestion_unrestricted.Wellcare_Wellcare_raw_claimsheader_ark_rejected_records_20260511_1 File data line count 889095 Total raw data line count 889095 Ingested row count 889075</t>
        </is>
      </c>
      <c r="F129" s="44" t="inlineStr">
        <is>
          <t>File processed successfully</t>
        </is>
      </c>
      <c r="G129" s="44" t="inlineStr">
        <is>
          <t>File processed successfully</t>
        </is>
      </c>
      <c r="H129" s="107" t="inlineStr">
        <is>
          <t>Other</t>
        </is>
      </c>
      <c r="I129" s="107" t="inlineStr">
        <is>
          <t>Other</t>
        </is>
      </c>
      <c r="J129" s="107" t="inlineStr"/>
      <c r="K129" s="107" t="inlineStr">
        <is>
          <t>Closed</t>
        </is>
      </c>
      <c r="L129" s="107" t="inlineStr">
        <is>
          <t>2026-05-12</t>
        </is>
      </c>
      <c r="M129" s="107" t="inlineStr">
        <is>
          <t>2026-05-13</t>
        </is>
      </c>
      <c r="N129" s="107" t="inlineStr">
        <is>
          <t>Nile Production Support</t>
        </is>
      </c>
      <c r="O129" s="107" t="inlineStr">
        <is>
          <t>Unassigned</t>
        </is>
      </c>
      <c r="P129" s="107" t="inlineStr">
        <is>
          <t>Raya, Birajan</t>
        </is>
      </c>
      <c r="Q129" s="107" t="inlineStr">
        <is>
          <t>Resolved</t>
        </is>
      </c>
      <c r="R129" s="44" t="inlineStr">
        <is>
          <t>File processed successfully</t>
        </is>
      </c>
      <c r="S129" s="107" t="inlineStr"/>
      <c r="T129" s="107" t="inlineStr"/>
      <c r="U129" s="107" t="inlineStr"/>
      <c r="V129" s="128" t="inlineStr">
        <is>
          <t>Data Issue</t>
        </is>
      </c>
      <c r="W129" s="107" t="inlineStr"/>
    </row>
    <row r="130">
      <c r="A130" s="109" t="inlineStr">
        <is>
          <t>IT-3049929</t>
        </is>
      </c>
      <c r="B130" s="109" t="inlineStr">
        <is>
          <t>IT-3049929</t>
        </is>
      </c>
      <c r="C130" s="109" t="inlineStr"/>
      <c r="D130" s="47" t="inlineStr">
        <is>
          <t>chcmd_daily_incoming_1.05-06-2026_0800</t>
        </is>
      </c>
      <c r="E130" s="47" t="inlineStr">
        <is>
          <t>Hi Team, File has failed to process at our end. Could you please resubmit the file to reprocess from our end. chcmd_daily_incoming_1.05-06-2026_0800</t>
        </is>
      </c>
      <c r="F130" s="47" t="inlineStr">
        <is>
          <t>we have resubmitted the pipeline and process was completed. got the confirmation from the user. we have resubmitted the pipeline and process was completed. got the confirmation from the user.</t>
        </is>
      </c>
      <c r="G130" s="47" t="inlineStr">
        <is>
          <t>we have resubmitted the pipeline and process was completed. got the confirmation from the user.</t>
        </is>
      </c>
      <c r="H130" s="109" t="inlineStr"/>
      <c r="I130" s="109" t="inlineStr"/>
      <c r="J130" s="109" t="inlineStr"/>
      <c r="K130" s="109" t="inlineStr">
        <is>
          <t>Closed</t>
        </is>
      </c>
      <c r="L130" s="109" t="inlineStr">
        <is>
          <t>2026-05-12</t>
        </is>
      </c>
      <c r="M130" s="109" t="inlineStr">
        <is>
          <t>2026-05-13</t>
        </is>
      </c>
      <c r="N130" s="109" t="inlineStr">
        <is>
          <t>Nile Production Support</t>
        </is>
      </c>
      <c r="O130" s="109" t="inlineStr">
        <is>
          <t>Unassigned</t>
        </is>
      </c>
      <c r="P130" s="109" t="inlineStr">
        <is>
          <t>Annamaneni, Vikram</t>
        </is>
      </c>
      <c r="Q130" s="109" t="inlineStr">
        <is>
          <t>Closed</t>
        </is>
      </c>
      <c r="R130" s="47" t="inlineStr">
        <is>
          <t>we have resubmitted the pipeline and process was completed. got the confirmation from the user. we have resubmitted the pipeline and process was completed. got the confirmation from the user.</t>
        </is>
      </c>
      <c r="S130" s="109" t="inlineStr"/>
      <c r="T130" s="109" t="inlineStr"/>
      <c r="U130" s="109" t="inlineStr"/>
      <c r="V130" s="112" t="inlineStr">
        <is>
          <t>Pipeline Schedule</t>
        </is>
      </c>
      <c r="W130" s="109" t="inlineStr"/>
    </row>
    <row r="131">
      <c r="A131" s="107" t="inlineStr">
        <is>
          <t>IT-3049883</t>
        </is>
      </c>
      <c r="B131" s="107" t="inlineStr">
        <is>
          <t>IT-3049883</t>
        </is>
      </c>
      <c r="C131" s="107" t="inlineStr"/>
      <c r="D131" s="44" t="inlineStr">
        <is>
          <t>Please re-ingest the Centene-Healthnet monthly member files.</t>
        </is>
      </c>
      <c r="E131" s="44" t="inlineStr">
        <is>
          <t>Please re-ingest the Centene-Healthnet monthly member files. Pipelines: dm-centene-healthnet-actian_migration_HNT_member_enrollment dm-centene-healthnet-actian_migration_HNT_cob dm-centene-healthnet-actian_migration_HNT_alternatecarrier dm-centene-healthnet-actian_migration_HNT_code_set dm-centene-healthnet-actian_migration_HNT_division Files Dated: 20260505</t>
        </is>
      </c>
      <c r="F131" s="44" t="inlineStr">
        <is>
          <t>we successfully processed the pipeline and received confirmation from the user and closed this ticket.</t>
        </is>
      </c>
      <c r="G131" s="44" t="inlineStr">
        <is>
          <t>we successfully processed the pipeline and received confirmation from the user and closed this ticket.</t>
        </is>
      </c>
      <c r="H131" s="107" t="inlineStr">
        <is>
          <t>Other</t>
        </is>
      </c>
      <c r="I131" s="107" t="inlineStr">
        <is>
          <t>Other</t>
        </is>
      </c>
      <c r="J131" s="107" t="inlineStr"/>
      <c r="K131" s="107" t="inlineStr">
        <is>
          <t>Closed</t>
        </is>
      </c>
      <c r="L131" s="107" t="inlineStr">
        <is>
          <t>2026-05-12</t>
        </is>
      </c>
      <c r="M131" s="107" t="inlineStr">
        <is>
          <t>2026-05-12</t>
        </is>
      </c>
      <c r="N131" s="107" t="inlineStr">
        <is>
          <t>Nile Production Support</t>
        </is>
      </c>
      <c r="O131" s="107" t="inlineStr">
        <is>
          <t>Unassigned</t>
        </is>
      </c>
      <c r="P131" s="107" t="inlineStr">
        <is>
          <t>Castro, Ronald</t>
        </is>
      </c>
      <c r="Q131" s="107" t="inlineStr">
        <is>
          <t>Resolved</t>
        </is>
      </c>
      <c r="R131" s="44" t="inlineStr">
        <is>
          <t>we successfully processed the pipeline and received confirmation from the user and closed this ticket.</t>
        </is>
      </c>
      <c r="S131" s="107" t="inlineStr"/>
      <c r="T131" s="107" t="inlineStr"/>
      <c r="U131" s="107" t="inlineStr"/>
      <c r="V131" s="113" t="inlineStr">
        <is>
          <t>Other</t>
        </is>
      </c>
      <c r="W131" s="107" t="inlineStr">
        <is>
          <t>Yes</t>
        </is>
      </c>
    </row>
    <row r="132">
      <c r="A132" s="109" t="inlineStr">
        <is>
          <t>IT-3049864</t>
        </is>
      </c>
      <c r="B132" s="109" t="inlineStr">
        <is>
          <t>IT-3049864</t>
        </is>
      </c>
      <c r="C132" s="109" t="inlineStr"/>
      <c r="D132" s="47" t="inlineStr">
        <is>
          <t>CareSource - New Market TriCare</t>
        </is>
      </c>
      <c r="E132" s="47" t="inlineStr">
        <is>
          <t>CareSource is adding a new market (FL TriCare) to their data feed. Below are the details: Payer short CSTRI, which will map to ClientLOB Insurance ID is CSTC which will map to GroupNum LOB is Federal which will map as FED to ClientDiv Test file received (see attached image) CnlyExp is 24 months from paid date CnlyLap is 30 days from paid date Need test file made available in Hue for Ops sign off and validation the above has been put into place. Once sign off is received, the client will send a backsweep file back to 1/1/2026</t>
        </is>
      </c>
      <c r="F132" s="47" t="inlineStr"/>
      <c r="G132" s="47" t="inlineStr"/>
      <c r="H132" s="109" t="inlineStr">
        <is>
          <t>Other</t>
        </is>
      </c>
      <c r="I132" s="109" t="inlineStr">
        <is>
          <t>Other</t>
        </is>
      </c>
      <c r="J132" s="109" t="inlineStr"/>
      <c r="K132" s="109" t="inlineStr">
        <is>
          <t>Open</t>
        </is>
      </c>
      <c r="L132" s="109" t="inlineStr">
        <is>
          <t>2026-05-12</t>
        </is>
      </c>
      <c r="M132" s="109" t="inlineStr">
        <is>
          <t>2026-05-12</t>
        </is>
      </c>
      <c r="N132" s="109" t="inlineStr">
        <is>
          <t>Nile Production Support</t>
        </is>
      </c>
      <c r="O132" s="109" t="inlineStr">
        <is>
          <t>Unassigned</t>
        </is>
      </c>
      <c r="P132" s="109" t="inlineStr">
        <is>
          <t>White, Debra</t>
        </is>
      </c>
      <c r="Q132" s="109" t="inlineStr">
        <is>
          <t>Unresolved</t>
        </is>
      </c>
      <c r="R132" s="47" t="inlineStr"/>
      <c r="S132" s="109" t="inlineStr"/>
      <c r="T132" s="109" t="inlineStr"/>
      <c r="U132" s="109" t="inlineStr"/>
      <c r="V132" s="110" t="inlineStr">
        <is>
          <t>Other</t>
        </is>
      </c>
      <c r="W132" s="109" t="inlineStr">
        <is>
          <t>Yes</t>
        </is>
      </c>
    </row>
    <row r="133">
      <c r="A133" s="107" t="inlineStr">
        <is>
          <t>IT-3049700</t>
        </is>
      </c>
      <c r="B133" s="107" t="inlineStr">
        <is>
          <t>IT-3049700</t>
        </is>
      </c>
      <c r="C133" s="107" t="inlineStr"/>
      <c r="D133" s="44" t="inlineStr">
        <is>
          <t>Nile pipelines are failing on 05/02</t>
        </is>
      </c>
      <c r="E133" s="44" t="inlineStr">
        <is>
          <t>Nile production pipeline failed due to intermittent permission denied/Hive exceptions. Investigation focused on Apache Ranger policies and Ranger Admin service instability - Ranger Admin logs showed errors including inability to create files and a database exception.</t>
        </is>
      </c>
      <c r="F133" s="44" t="inlineStr">
        <is>
          <t>Service was restored by reattempting the failed pipelines until they completed. Access was restored by creating/updating an Apache Ranger policy to grant required permissions. Jobs began succeeding after retries and policy adjustment. Follow-up: Cloudera support case opened to assist with Ranger Admin/log errors. POC Wasim Mohd, Ravisankar Kantimahanti, VenkataAbyas Korada.</t>
        </is>
      </c>
      <c r="G133" s="44" t="inlineStr">
        <is>
          <t>Follow-up: Cloudera support case opened to assist with Ranger Admin/log errors. POC Wasim Mohd, Ravisankar Kantimahanti, VenkataAbyas Korada.</t>
        </is>
      </c>
      <c r="H133" s="107" t="inlineStr">
        <is>
          <t>Other</t>
        </is>
      </c>
      <c r="I133" s="107" t="inlineStr">
        <is>
          <t>Other</t>
        </is>
      </c>
      <c r="J133" s="107" t="inlineStr"/>
      <c r="K133" s="107" t="inlineStr">
        <is>
          <t>Closed</t>
        </is>
      </c>
      <c r="L133" s="107" t="inlineStr">
        <is>
          <t>2026-05-11</t>
        </is>
      </c>
      <c r="M133" s="107" t="inlineStr">
        <is>
          <t>2026-05-11</t>
        </is>
      </c>
      <c r="N133" s="107" t="inlineStr">
        <is>
          <t>Nile Production Support</t>
        </is>
      </c>
      <c r="O133" s="107" t="inlineStr">
        <is>
          <t>Unassigned</t>
        </is>
      </c>
      <c r="P133" s="107" t="inlineStr">
        <is>
          <t>Kantimahanti, Ravisankar</t>
        </is>
      </c>
      <c r="Q133" s="107" t="inlineStr">
        <is>
          <t>Resolved</t>
        </is>
      </c>
      <c r="R133" s="44" t="inlineStr">
        <is>
          <t>Service was restored by reattempting the failed pipelines until they completed. Access was restored by creating/updating an Apache Ranger policy to grant required permissions. Jobs began succeeding after retries and policy adjustment. Follow-up: Cloudera support case opened to assist with Ranger Admin/log errors. POC Wasim Mohd, Ravisankar Kantimahanti, VenkataAbyas Korada.</t>
        </is>
      </c>
      <c r="S133" s="107" t="inlineStr"/>
      <c r="T133" s="107" t="inlineStr"/>
      <c r="U133" s="107" t="inlineStr"/>
      <c r="V133" s="111" t="inlineStr">
        <is>
          <t>Pipeline Schedule</t>
        </is>
      </c>
      <c r="W133" s="107" t="inlineStr"/>
    </row>
    <row r="134">
      <c r="A134" s="109" t="inlineStr">
        <is>
          <t>IT-3049685</t>
        </is>
      </c>
      <c r="B134" s="109" t="inlineStr">
        <is>
          <t>IT-3049685</t>
        </is>
      </c>
      <c r="C134" s="109" t="inlineStr"/>
      <c r="D134" s="47" t="inlineStr">
        <is>
          <t>HCSC_BackFill_Set_3_files process.</t>
        </is>
      </c>
      <c r="E134" s="47" t="inlineStr">
        <is>
          <t>we have to verify the set3 files and process it.</t>
        </is>
      </c>
      <c r="F134" s="47" t="inlineStr">
        <is>
          <t>The Third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I have reviewed the files process and get the confirmations from the user. few files data not loaded into the respective tables. we successfully processed the set3 files.</t>
        </is>
      </c>
      <c r="G134" s="47" t="inlineStr">
        <is>
          <t>we successfully processed the set3 files.</t>
        </is>
      </c>
      <c r="H134" s="109" t="inlineStr">
        <is>
          <t>Other</t>
        </is>
      </c>
      <c r="I134" s="109" t="inlineStr">
        <is>
          <t>Other</t>
        </is>
      </c>
      <c r="J134" s="109" t="inlineStr"/>
      <c r="K134" s="109" t="inlineStr">
        <is>
          <t>Closed</t>
        </is>
      </c>
      <c r="L134" s="109" t="inlineStr">
        <is>
          <t>2026-05-11</t>
        </is>
      </c>
      <c r="M134" s="109" t="inlineStr">
        <is>
          <t>2026-05-12</t>
        </is>
      </c>
      <c r="N134" s="109" t="inlineStr">
        <is>
          <t>Nile Production Support</t>
        </is>
      </c>
      <c r="O134" s="109" t="inlineStr">
        <is>
          <t>Unassigned</t>
        </is>
      </c>
      <c r="P134" s="109" t="inlineStr">
        <is>
          <t>Kantimahanti, Ravisankar</t>
        </is>
      </c>
      <c r="Q134" s="109" t="inlineStr">
        <is>
          <t>Done</t>
        </is>
      </c>
      <c r="R134" s="47" t="inlineStr">
        <is>
          <t>The Third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I have reviewed the files process and get the confirmations from the user. few files data not loaded into the respective tables. we successfully processed the set3 files.</t>
        </is>
      </c>
      <c r="S134" s="109" t="inlineStr"/>
      <c r="T134" s="109" t="inlineStr"/>
      <c r="U134" s="109" t="inlineStr"/>
      <c r="V134" s="120" t="inlineStr">
        <is>
          <t>Spooler issue</t>
        </is>
      </c>
      <c r="W134" s="109" t="inlineStr"/>
    </row>
    <row r="135">
      <c r="A135" s="107" t="inlineStr">
        <is>
          <t>IT-3049638</t>
        </is>
      </c>
      <c r="B135" s="107" t="inlineStr">
        <is>
          <t>IT-3049638</t>
        </is>
      </c>
      <c r="C135" s="107" t="inlineStr"/>
      <c r="D135" s="44" t="inlineStr">
        <is>
          <t>Oscar test files needs to be processed in QC but ar Failing</t>
        </is>
      </c>
      <c r="E135" s="44" t="inlineStr">
        <is>
          <t>We have received below test files for oscar to process. oscar_test_tba_professional_incoming_1_20260505.txt oscar_test_tba_professional_incoming_2_20260505.txt oscar_test_tba_professional_incoming_3_20260505.txt oscar_test_tba_professional_incoming_4_20260505.txt oscar_test_tba_professional_incoming_5_20260505.txt However, it is getting failed while running set2 with error message invoke "java.lang.Comparable.compareTo(Object)" because the return value of "java.util.function.Function.apply(Object)" is null. Please investigate.</t>
        </is>
      </c>
      <c r="F135" s="44" t="inlineStr"/>
      <c r="G135" s="44" t="inlineStr"/>
      <c r="H135" s="107" t="inlineStr">
        <is>
          <t>Other</t>
        </is>
      </c>
      <c r="I135" s="107" t="inlineStr">
        <is>
          <t>Other</t>
        </is>
      </c>
      <c r="J135" s="107" t="inlineStr"/>
      <c r="K135" s="107" t="inlineStr">
        <is>
          <t>In Progress (HD1)</t>
        </is>
      </c>
      <c r="L135" s="107" t="inlineStr">
        <is>
          <t>2026-05-11</t>
        </is>
      </c>
      <c r="M135" s="107" t="inlineStr">
        <is>
          <t>2026-05-11</t>
        </is>
      </c>
      <c r="N135" s="107" t="inlineStr">
        <is>
          <t>Nile Production Support</t>
        </is>
      </c>
      <c r="O135" s="107" t="inlineStr">
        <is>
          <t>Unassigned</t>
        </is>
      </c>
      <c r="P135" s="107" t="inlineStr">
        <is>
          <t>Kandel, Amik</t>
        </is>
      </c>
      <c r="Q135" s="107" t="inlineStr">
        <is>
          <t>Unresolved</t>
        </is>
      </c>
      <c r="R135" s="44" t="inlineStr"/>
      <c r="S135" s="107" t="inlineStr"/>
      <c r="T135" s="107" t="inlineStr"/>
      <c r="U135" s="107" t="inlineStr"/>
      <c r="V135" s="111" t="inlineStr">
        <is>
          <t>Pipeline Schedule</t>
        </is>
      </c>
      <c r="W135" s="107" t="inlineStr"/>
    </row>
    <row r="136">
      <c r="A136" s="109" t="inlineStr">
        <is>
          <t>IT-3049552</t>
        </is>
      </c>
      <c r="B136" s="109" t="inlineStr">
        <is>
          <t>IT-3049552</t>
        </is>
      </c>
      <c r="C136" s="109" t="inlineStr"/>
      <c r="D136" s="47" t="inlineStr">
        <is>
          <t>Request for updated report for HCSC PPM file delivery</t>
        </is>
      </c>
      <c r="E136" s="47" t="inlineStr">
        <is>
          <t>We are currently working to schedule a meeting with HCSC to discuss the ongoing inconsistencies with PPM file delivery. In preparation, could we please receive an updated version of the attached report? Specifically, we are requesting the same data as previously provided for the February–April 2026 timeframe. This information will be helpful in illustrating the inconsistencies that have already been acknowledged by HCSC.</t>
        </is>
      </c>
      <c r="F136" s="47" t="inlineStr">
        <is>
          <t>HCSCDIL and HCSCG - late file trend - Aug to Oct 2025.xlsx (33 kB)</t>
        </is>
      </c>
      <c r="G136" s="47" t="inlineStr"/>
      <c r="H136" s="109" t="inlineStr">
        <is>
          <t>Other</t>
        </is>
      </c>
      <c r="I136" s="109" t="inlineStr">
        <is>
          <t>Other</t>
        </is>
      </c>
      <c r="J136" s="109" t="inlineStr"/>
      <c r="K136" s="109" t="inlineStr">
        <is>
          <t>In Progress (HD1)</t>
        </is>
      </c>
      <c r="L136" s="109" t="inlineStr">
        <is>
          <t>2026-05-11</t>
        </is>
      </c>
      <c r="M136" s="109" t="inlineStr">
        <is>
          <t>2026-05-15</t>
        </is>
      </c>
      <c r="N136" s="109" t="inlineStr">
        <is>
          <t>Nile Production Support</t>
        </is>
      </c>
      <c r="O136" s="109" t="inlineStr">
        <is>
          <t>Unassigned</t>
        </is>
      </c>
      <c r="P136" s="109" t="inlineStr">
        <is>
          <t>Williams, Shay</t>
        </is>
      </c>
      <c r="Q136" s="109" t="inlineStr">
        <is>
          <t>Unresolved</t>
        </is>
      </c>
      <c r="R136" s="47" t="inlineStr">
        <is>
          <t>HCSCDIL and HCSCG - late file trend - Aug to Oct 2025.xlsx (33 kB)</t>
        </is>
      </c>
      <c r="S136" s="109" t="inlineStr"/>
      <c r="T136" s="109" t="inlineStr"/>
      <c r="U136" s="109" t="inlineStr"/>
      <c r="V136" s="112" t="inlineStr">
        <is>
          <t>Pipeline Schedule</t>
        </is>
      </c>
      <c r="W136" s="109" t="inlineStr"/>
    </row>
    <row r="137">
      <c r="A137" s="107" t="inlineStr">
        <is>
          <t>IT-3049460</t>
        </is>
      </c>
      <c r="B137" s="107" t="inlineStr">
        <is>
          <t>IT-3049460</t>
        </is>
      </c>
      <c r="C137" s="107" t="inlineStr"/>
      <c r="D137" s="44" t="inlineStr">
        <is>
          <t>Pipeline: dm-uhc-csp-actian-migration_csp_mctr_code | Data Date: 2026/05/03 | Error Found</t>
        </is>
      </c>
      <c r="E137" s="44" t="inlineStr">
        <is>
          <t>Pipeline: dm-uhc-csp-actian-migration_csp_mctr_code , Version: V1 , Data Date: 2026/05/03 Raw File Name: CSP_MCTR_CODE_WEEKLY_OUT_MAY26_WEEK1.txt Error Description: SFileName should not be NULL if Text and should not be blank or NULL if Numeric Please see attached screenshot for more detailed information. Also Email Ref: Actian Migration - Errors Found 20260503 - 1 - prod - dm-uhc-csp-actian-migration_csp_mctr_code</t>
        </is>
      </c>
      <c r="F137" s="44" t="inlineStr">
        <is>
          <t>pipeline completed going to share the special char line numbers to sanjeeb Thanks Shared line numbers to Sanjeeb Thanks</t>
        </is>
      </c>
      <c r="G137" s="44" t="inlineStr">
        <is>
          <t>pipeline completed</t>
        </is>
      </c>
      <c r="H137" s="107" t="inlineStr">
        <is>
          <t>Other</t>
        </is>
      </c>
      <c r="I137" s="107" t="inlineStr">
        <is>
          <t>Other</t>
        </is>
      </c>
      <c r="J137" s="107" t="inlineStr"/>
      <c r="K137" s="107" t="inlineStr">
        <is>
          <t>Closed</t>
        </is>
      </c>
      <c r="L137" s="107" t="inlineStr">
        <is>
          <t>2026-05-11</t>
        </is>
      </c>
      <c r="M137" s="107" t="inlineStr">
        <is>
          <t>2026-05-12</t>
        </is>
      </c>
      <c r="N137" s="107" t="inlineStr">
        <is>
          <t>Nile Production Support</t>
        </is>
      </c>
      <c r="O137" s="107" t="inlineStr">
        <is>
          <t>Unassigned</t>
        </is>
      </c>
      <c r="P137" s="107" t="inlineStr">
        <is>
          <t>Enid Ike</t>
        </is>
      </c>
      <c r="Q137" s="107" t="inlineStr">
        <is>
          <t>Resolved</t>
        </is>
      </c>
      <c r="R137" s="44" t="inlineStr">
        <is>
          <t>pipeline completed going to share the special char line numbers to sanjeeb Thanks Shared line numbers to Sanjeeb Thanks</t>
        </is>
      </c>
      <c r="S137" s="107" t="inlineStr"/>
      <c r="T137" s="107" t="inlineStr"/>
      <c r="U137" s="107" t="inlineStr"/>
      <c r="V137" s="124" t="inlineStr">
        <is>
          <t>Issue Platform</t>
        </is>
      </c>
      <c r="W137" s="107" t="inlineStr"/>
    </row>
    <row r="138">
      <c r="A138" s="109" t="inlineStr">
        <is>
          <t>IT-3049177</t>
        </is>
      </c>
      <c r="B138" s="109" t="inlineStr">
        <is>
          <t>IT-3049177</t>
        </is>
      </c>
      <c r="C138" s="109" t="inlineStr"/>
      <c r="D138" s="47" t="inlineStr">
        <is>
          <t>Data copy request from Prod to dev for UHC UNET FI client</t>
        </is>
      </c>
      <c r="E138" s="47" t="inlineStr">
        <is>
          <t>Hi Team, We need data copy for UHC UNET FI client from Prod to Dev. Once copied to dev the owner should be set to ‘svcpniledidevraw' and group should be set to 'devunrestricted’ and permission should be 750. Below are the list of files needed to copy from Prod to Dev - NILE PROD RAW PATH (SOURCE) : /dataingestionprod/raw/unrestricted/303-uhc-unet/ NILE DEV RAW PATH (TARGET) : /dataingestiondev/raw/unrestricted/24-uhc-unetfi Also attached the below file names in excel to this ticket /dataingestionprod/raw/unrestricted/303-uhc-unet/20240923/UNET_MBR_BEH_OUT_SEP24.txt.gz.pgp /dataingestionprod/raw/unrestricted/303-uhc-unet/20240923/UNET_MBR_MED_OUT_SEP24.txt.gz.pgp /dataingestionprod/raw/unrestricted/303-uhc-unet/20240930/UNET_MBR_BEH_OUT_SEP24.txt.gz.pgp /dataingestionprod/raw/unrestricted/303-uhc-unet/20240930/UNET_MBR_MED_OUT_SEP24.txt.gz.pgp /dataingestionprod/raw/unrestricted/303-uhc-unet/20241009/UNET_MBR_BEH_OUT_OCT24.txt.gz.pgp /dataingestionprod/raw/unrestricted/303-uhc-unet/20241009/UNET_MBR_MED_OUT_OCT24.txt.gz.pgp /dataingestionprod/raw/unrestricted/303-uhc-unet/20241021/UNET_MBR_BEH_OUT_OCT24.txt.gz.pgp /dataingestionprod/raw/unrestricted/303-uhc-unet/20241021/UNET_MBR_MED_OUT_OCT24.txt.gz.pgp /dataingestionprod/raw/unrestricted/303-uhc-unet/20241022/UNET_MBR_BEH_OUT_OCT24.txt.gz.pgp /dataingestionprod/raw/unrestricted/303-uhc-unet/20241022/UNET_MBR_MED_OUT_OCT24.txt.gz.pgp /dataingestionprod/raw/unrestricted/303-uhc-unet/20241028/UNET_MBR_BEH_OUT_OCT24.txt.gz.pgp /dataingestionprod/raw/unrestricted/303-uhc-unet/20241028/UNET_MBR_MED_OUT_OCT24.txt.gz.pgp /dataingestionprod/raw/unrestricted/303-uhc-unet/20241030/UNET_MBR_BEH_OUT_OCT24.txt.gz.pgp /dataingestionprod/raw/unrestricted/303-uhc-unet/20241030/UNET_MBR_MED_OUT_OCT24.txt.gz.pgp /dataingestionprod/raw/unrestricted/303-uhc-unet/20241109/UNET_MBR_BEH_OUT_NOV24.txt.gz.pgp /dataingestionprod/raw/unrestricted/303-uhc-unet/20241109/UNET_MBR_MED_OUT_NOV24.txt.gz.pgp /dataingestionprod/raw/unrestricted/303-uhc-unet/20241119/UNET_MBR_BEH_OUT_NOV24.txt.gz.pgp /dataingestionprod/raw/unrestricted/303-uhc-unet/20241119/UNET_MBR_MED_OUT_NOV24.txt.gz.pgp /dataingestionprod/raw/unrestricted/303-uhc-unet/20241130/UNET_MBR_BEH_OUT_NOV24.txt.gz.pgp /dataingestionprod/raw/unrestricted/303-uhc-unet/20241130/UNET_MBR_MED_OUT_NOV24.txt.gz.pgp /dataingestionprod/raw/unrestricted/303-uhc-unet/20241209/UNET_MBR_BEH_OUT_DEC24.txt.gz.pgp /dataingestionprod/raw/unrestricted/303-uhc-unet/20241209/UNET_MBR_MED_OUT_DEC24.txt.gz.pgp /dataingestionprod/raw/unrestricted/303-uhc-unet/20241219/UNET_MBR_BEH_OUT_DEC24.txt.gz.pgp /dataingestionprod/raw/unrestricted/303-uhc-unet/20241219/UNET_MBR_MED_OUT_DEC24.txt.gz.pgp /dataingestionprod/raw/unrestricted/303-uhc-unet/20241230/UNET_MBR_BEH_OUT_DEC24.txt.gz.pgp /dataingestionprod/raw/unrestricted/303-uhc-unet/20241230/UNET_MBR_MED_OUT_DEC24.txt.gz.pgp /dataingestionprod/raw/unrestricted/303-uhc-unet/20250103/UNET_MBR_BEH_OUT_DEC24.txt.gz.pgp /dataingestionprod/raw/unrestricted/303-uhc-unet/20250103/UNET_MBR_MED_OUT_DEC24.txt.gz.pgp /dataingestionprod/raw/unrestricted/303-uhc-unet/20250106/UNET_MBR_BEH_OUT_DEC24.txt.gz.pgp /dataingestionprod/raw/unrestricted/303-uhc-unet/20250109/UNET_MBR_BEH_OUT_JAN25.txt.gz.pgp /dataingestionprod/raw/unrestricted/303-uhc-unet/20250109/UNET_MBR_MED_OUT_JAN25.txt.gz.pgp /dataingestionprod/raw/unrestricted/303-uhc-unet/20250119/UNET_MBR_BEH_OUT_JAN25.txt.gz.pgp /dataingestionprod/raw/unrestricted/303-uhc-unet/20250119/UNET_MBR_MED_OUT_JAN25.txt.gz.pgp /dataingestionprod/raw/unrestricted/303-uhc-unet/20250130/UNET_MBR_BEH_OUT_JAN25.txt.gz.pgp /dataingestionprod/raw/unrestricted/303-uhc-unet/20250130/UNET_MBR_MED_OUT_JAN25.txt.gz.pgp /dataingestionprod/raw/unrestricted/303-uhc-unet/20250209/UNET_MBR_BEH_OUT_FEB25.txt.gz.pgp /dataingestionprod/raw/unrestricted/303-uhc-unet/20250209/UNET_MBR_MED_OUT_FEB25.txt.gz.pgp /dataingestionprod/raw/unrestricted/303-uhc-unet/20250219/UNET_MBR_BEH_OUT_FEB25.txt.gz.pgp /dataingestionprod/raw/unrestricted/303-uhc-unet/20250219/UNET_MBR_MED_OUT_FEB25.txt.gz.pgp /dataingestionprod/raw/unrestricted/303-uhc-unet/20250303/UNET_MBR_BEH_OUT_FEB25.txt.gz.pgp /dataingestionprod/raw/unrestricted/303-uhc-unet/20250303/UNET_MBR_MED_OUT_FEB25.txt.gz.pgp /dataingestionprod/raw/unrestricted/303-uhc-unet/20250305/UNET_MBR_BEH_OUT_FEB25.txt.gz.pgp /dataingestionprod/raw/unrestricted/303-uhc-unet/20250305/UNET_MBR_MED_OUT_FEB25.txt.gz.pgp /dataingestionprod/raw/unrestricted/303-uhc-unet/20250309/UNET_MBR_BEH_OUT_MAR25.txt.gz.pgp /dataingestionprod/raw/unrestricted/303-uhc-unet/20250309/UNET_MBR_MED_OUT_MAR25.txt.gz.pgp /dataingestionprod/raw/unrestricted/303-uhc-unet/20250319/UNET_MBR_BEH_OUT_FEB25.txt.gz.pgp /dataingestionprod/raw/unrestricted/303-uhc-unet/20250319/UNET_MBR_MED_OUT_FEB25.txt.gz.pgp /dataingestionprod/raw/unrestricted/303-uhc-unet/20250324/UNET_MBR_BEH_OUT_MAR25.txt.gz.pgp /dataingestionprod/raw/unrestricted/303-uhc-unet/20250324/UNET_MBR_MED_OUT_MAR25.txt.gz.pgp /dataingestionprod/raw/unrestricted/303-uhc-unet/20250331/UNET_MBR_BEH_OUT_MAR25.txt.gz.pgp /dataingestionprod/raw/unrestricted/303-uhc-unet/20250331/UNET_MBR_MED_OUT_MAR25.txt.gz.pgp /dataingestionprod/raw/unrestricted/303-uhc-unet/20260109/UNET_MBR_BEH_OUT_JAN26.txt.gz.pgp /dataingestionprod/raw/unrestricted/303-uhc-unet/20260109/UNET_MBR_MED_OUT_JAN26.txt.gz.pgp /dataingestionprod/raw/unrestricted/303-uhc-unet/20260126/UNET_MBR_BEH_OUT_JAN26.txt.gz.pgp /dataingestionprod/raw/unrestricted/303-uhc-unet/20260126/UNET_MBR_MED_OUT_JAN26.txt.gz.pgp /dataingestionprod/raw/unrestricted/303-uhc-unet/20260128/UNET_MBR_BEH_OUT_JAN26.txt.gz.pgp /dataingestionprod/raw/unrestricted/303-uhc-unet/20260128/UNET_MBR_MED_OUT_JAN26.txt.gz.pgp /dataingestionprod/raw/unrestricted/303-uhc-unet/20260209/UNET_MBR_BEH_OUT_FEB26.txt.gz.pgp /dataingestionprod/raw/unrestricted/303-uhc-unet/20260209/UNET_MBR_MED_OUT_FEB26.txt.gz.pgp /dataingestionprod/raw/unrestricted/303-uhc-unet/202502/HIST_UNET_MBR_UHGEE_OUT_HIST_FEB25.txt.gz /dataingestionprod/raw/unrestricted/303-uhc-unet/202502/UNET_MBR_UHGEE_OUT_FEB25.txt.gz /dataingestionprod/raw/unrestricted/303-uhc-unet/202503/UNET_MBR_UHGEE_OUT_MAR25.txt.gz /dataingestionprod/raw/unrestricted/303-uhc-unet/20260213/UNET_MBR_UHGEE_OUT_FEB26.txt.gz /dataingestionprod/raw/unrestricted/303-uhc-unet/20260128/UNET_MBR_UHGEE_OUT_JAN26.txt.gz /dataingestionprod/raw/unrestricted/303-uhc-unet/20260119/UNET_MBR_UHGEE_OUT_JAN26.txt.gz /dataingestionprod/raw/unrestricted/303-uhc-unet/20260119/UNET_MBR_UHGEE_OUT_JAN26.txt.gz /dataingestionprod/raw/unrestricted/303-uhc-unet/20260108/UNET_MBR_UHGEE_OUT_JAN26.txt.gz /dataingestionprod/raw/unrestricted/303-uhc-unet/202507/UNET_DETAIL_REVENUE_FI_OUT_JUL25.txt.gz.pgp /dataingestionprod/raw/unrestricted/303-uhc-unet/202508/UNET_DETAIL_REVENUE_FI_OUT_AUG25.txt.gz.pgp /dataingestionprod/raw/unrestricted/303-uhc-unet/202509/UNET_DETAIL_REVENUE_FI_OUT_SEP25.txt.gz.pgp /dataingestionprod/raw/unrestricted/303-uhc-unet/202510/UNET_DETAIL_REVENUE_FI_OUT_OCT25.txt.gz.pgp /dataingestionprod/raw/unrestricted/303-uhc-unet/202511/UNET_DETAIL_REVENUE_FI_OUT_NOV25.txt.gz.pgp /dataingestionprod/raw/unrestricted/303-uhc-unet/202512/UNET_DETAIL_REVENUE_FI_OUT_DEC25.txt.gz.pgp /dataingestionprod/raw/unrestricted/303-uhc-unet/202601/UNET_DETAIL_REVENUE_FI_OUT_JAN26.txt.gz.pgp /dataingestionprod/raw/unrestricted/303-uhc-unet/202602/UNET_DETAIL_REVENUE_FI_OUT_FEB26.txt.gz.pgp</t>
        </is>
      </c>
      <c r="F138" s="47" t="inlineStr">
        <is>
          <t>data_copyrequest.xlsx (10 kB) Hi Thatineni Babu, Ramakrishna Data copied please verify Thanks</t>
        </is>
      </c>
      <c r="G138" s="47" t="inlineStr">
        <is>
          <t>Data Copied</t>
        </is>
      </c>
      <c r="H138" s="109" t="inlineStr">
        <is>
          <t>Other</t>
        </is>
      </c>
      <c r="I138" s="109" t="inlineStr">
        <is>
          <t>Other</t>
        </is>
      </c>
      <c r="J138" s="109" t="inlineStr"/>
      <c r="K138" s="109" t="inlineStr">
        <is>
          <t>Closed</t>
        </is>
      </c>
      <c r="L138" s="109" t="inlineStr">
        <is>
          <t>2026-05-11</t>
        </is>
      </c>
      <c r="M138" s="109" t="inlineStr">
        <is>
          <t>2026-05-12</t>
        </is>
      </c>
      <c r="N138" s="109" t="inlineStr">
        <is>
          <t>Nile Production Support</t>
        </is>
      </c>
      <c r="O138" s="109" t="inlineStr">
        <is>
          <t>Unassigned</t>
        </is>
      </c>
      <c r="P138" s="109" t="inlineStr">
        <is>
          <t>Thatineni Babu, Ramakrishna</t>
        </is>
      </c>
      <c r="Q138" s="109" t="inlineStr">
        <is>
          <t>Resolved</t>
        </is>
      </c>
      <c r="R138" s="47" t="inlineStr">
        <is>
          <t>data_copyrequest.xlsx (10 kB) Hi Thatineni Babu, Ramakrishna Data copied please verify Thanks</t>
        </is>
      </c>
      <c r="S138" s="109" t="inlineStr"/>
      <c r="T138" s="109" t="inlineStr"/>
      <c r="U138" s="109" t="inlineStr"/>
      <c r="V138" s="110" t="inlineStr">
        <is>
          <t>Other</t>
        </is>
      </c>
      <c r="W138" s="109" t="inlineStr">
        <is>
          <t>Yes</t>
        </is>
      </c>
    </row>
    <row r="139">
      <c r="A139" s="107" t="inlineStr">
        <is>
          <t>IT-3048508</t>
        </is>
      </c>
      <c r="B139" s="107" t="inlineStr">
        <is>
          <t>IT-3048508</t>
        </is>
      </c>
      <c r="C139" s="107" t="inlineStr"/>
      <c r="D139" s="44" t="inlineStr">
        <is>
          <t>UHC Unet - Lineage Report is showing Incomplete Information</t>
        </is>
      </c>
      <c r="E139" s="44" t="inlineStr">
        <is>
          <t>Hello Nile Production Team, For the pipelines below, the lineage report should display two claim file names - legacy claim and uhgee claim but it is currently showing only one filename. When I check the SQL table, it has the correct number of files - legacy and uhgee claim file. Please see the attached snapshot for reference. Could you please check why the lineage report is not showing both the filenames? prod - dm-uhc-unet-actian_migration_claimsasophy prod - dm-uhc-unet-actian_migration_claimsfinon prod - dm-uhc-unet-actian_migration_claimsfifac Thanks, Priya</t>
        </is>
      </c>
      <c r="F139" s="44" t="inlineStr">
        <is>
          <t>Hi Dongol, Priya , As discussed, I have attached the previous ticket reference https://jiraet.cotiviti.com/browse/IT-2982677 Hi, As discussed in the chat. I am working on generating new lineage report with 2 files names in it.</t>
        </is>
      </c>
      <c r="G139" s="44" t="inlineStr"/>
      <c r="H139" s="107" t="inlineStr">
        <is>
          <t>Other</t>
        </is>
      </c>
      <c r="I139" s="107" t="inlineStr">
        <is>
          <t>Other</t>
        </is>
      </c>
      <c r="J139" s="107" t="inlineStr"/>
      <c r="K139" s="107" t="inlineStr">
        <is>
          <t>In Progress (HD1)</t>
        </is>
      </c>
      <c r="L139" s="107" t="inlineStr">
        <is>
          <t>2026-05-11</t>
        </is>
      </c>
      <c r="M139" s="107" t="inlineStr">
        <is>
          <t>2026-05-25</t>
        </is>
      </c>
      <c r="N139" s="107" t="inlineStr">
        <is>
          <t>Nile Production Support</t>
        </is>
      </c>
      <c r="O139" s="107" t="inlineStr">
        <is>
          <t>Unassigned</t>
        </is>
      </c>
      <c r="P139" s="107" t="inlineStr">
        <is>
          <t>Dongol, Priya</t>
        </is>
      </c>
      <c r="Q139" s="107" t="inlineStr">
        <is>
          <t>Unresolved</t>
        </is>
      </c>
      <c r="R139" s="44" t="inlineStr">
        <is>
          <t>Hi Dongol, Priya , As discussed, I have attached the previous ticket reference https://jiraet.cotiviti.com/browse/IT-2982677 Hi, As discussed in the chat. I am working on generating new lineage report with 2 files names in it.</t>
        </is>
      </c>
      <c r="S139" s="107" t="inlineStr"/>
      <c r="T139" s="107" t="inlineStr"/>
      <c r="U139" s="107" t="inlineStr"/>
      <c r="V139" s="117" t="inlineStr">
        <is>
          <t>Unmatched raw data count</t>
        </is>
      </c>
      <c r="W139" s="107" t="inlineStr"/>
    </row>
    <row r="140">
      <c r="A140" s="109" t="inlineStr">
        <is>
          <t>IT-3048495</t>
        </is>
      </c>
      <c r="B140" s="109" t="inlineStr">
        <is>
          <t>IT-3048495</t>
        </is>
      </c>
      <c r="C140" s="109" t="inlineStr"/>
      <c r="D140" s="47" t="inlineStr">
        <is>
          <t>rca-cigna-proclaim-accent_claims_mem_prov_GDF2_4 | Multiple Failures | Data Date 5/10/2026</t>
        </is>
      </c>
      <c r="E140" s="47" t="inlineStr">
        <is>
          <t>Pipeline: rca-cigna-proclaim-accent_claims_mem_prov_GDF2_4 , Version: V1.13 , Data Date: 2026/05/10 , Experiencing multiple failures at several stages. Stage: Looper-create_standard_implala_tables [looper] Stage: Shell Executor-creat_Standard_impala_Table [shell-executor_mediclaims_Standard_claimhistory] Also seeing "Got Empty Message from Refresh Report" on several stages.</t>
        </is>
      </c>
      <c r="F140" s="47" t="inlineStr"/>
      <c r="G140" s="47" t="inlineStr"/>
      <c r="H140" s="109" t="inlineStr">
        <is>
          <t>Other</t>
        </is>
      </c>
      <c r="I140" s="109" t="inlineStr">
        <is>
          <t>Other</t>
        </is>
      </c>
      <c r="J140" s="109" t="inlineStr"/>
      <c r="K140" s="109" t="inlineStr">
        <is>
          <t>Open</t>
        </is>
      </c>
      <c r="L140" s="109" t="inlineStr">
        <is>
          <t>2026-05-11</t>
        </is>
      </c>
      <c r="M140" s="109" t="inlineStr">
        <is>
          <t>2026-05-11</t>
        </is>
      </c>
      <c r="N140" s="109" t="inlineStr">
        <is>
          <t>Nile Production Support</t>
        </is>
      </c>
      <c r="O140" s="109" t="inlineStr">
        <is>
          <t>Unassigned</t>
        </is>
      </c>
      <c r="P140" s="109" t="inlineStr">
        <is>
          <t>Enid Ike</t>
        </is>
      </c>
      <c r="Q140" s="109" t="inlineStr">
        <is>
          <t>Unresolved</t>
        </is>
      </c>
      <c r="R140" s="47" t="inlineStr"/>
      <c r="S140" s="109" t="inlineStr"/>
      <c r="T140" s="109" t="inlineStr"/>
      <c r="U140" s="109" t="inlineStr"/>
      <c r="V140" s="112" t="inlineStr">
        <is>
          <t>Pipeline Schedule</t>
        </is>
      </c>
      <c r="W140" s="109" t="inlineStr"/>
    </row>
    <row r="141">
      <c r="A141" s="107" t="inlineStr">
        <is>
          <t>IT-3048238</t>
        </is>
      </c>
      <c r="B141" s="107" t="inlineStr">
        <is>
          <t>IT-3048238</t>
        </is>
      </c>
      <c r="C141" s="107" t="inlineStr"/>
      <c r="D141" s="44" t="inlineStr">
        <is>
          <t>cigmc_daily_incoming_180050.05-10-2026_1910 : FAILED - Excessive failed lines (~100%)</t>
        </is>
      </c>
      <c r="E141" s="44" t="inlineStr">
        <is>
          <t>File : cigmc_daily_incoming_180050.05-10-2026_1910 QA Status : FAILED Reason : FAILED - Excessive failed lines (~100%) cigmc_daily_incoming_180050 (2) Total L... by Bohannon, Stevin 8:52 AM Bohannon, Stevin cigmc_daily_incoming_180050 (2) Total Lines Processed for Run : 2 PayerShort: CIGMC ClaimId: 26113ALM3000 Er... by Bohannon, Stevin 8:53 AM Bohannon, Stevin PayerShort: CIGMC ClaimId: 26113ALM3000 Error: SUB_CPT is blank CIGMC|T|0029872|20260510|2|P TRAILER|2|20260510|230050 Sun May 10 19:10:07 EDT 2026 REASONCODE OCCURS(1) OCCURS(2) OCCURS(3) BLANK 0 2 2 FAILS 2 0 0 PayerShort: CIGMC SUB_CPT is blank occurs 1 times 2 Like reactions. 2</t>
        </is>
      </c>
      <c r="F141" s="44" t="inlineStr">
        <is>
          <t>Requested replacement file from client Requested replacement file from client</t>
        </is>
      </c>
      <c r="G141" s="44" t="inlineStr"/>
      <c r="H141" s="107" t="inlineStr"/>
      <c r="I141" s="107" t="inlineStr"/>
      <c r="J141" s="107" t="inlineStr"/>
      <c r="K141" s="107" t="inlineStr">
        <is>
          <t>Awaiting Third Party</t>
        </is>
      </c>
      <c r="L141" s="107" t="inlineStr">
        <is>
          <t>2026-05-11</t>
        </is>
      </c>
      <c r="M141" s="107" t="inlineStr">
        <is>
          <t>2026-05-11</t>
        </is>
      </c>
      <c r="N141" s="107" t="inlineStr">
        <is>
          <t>Nile Production Support</t>
        </is>
      </c>
      <c r="O141" s="107" t="inlineStr">
        <is>
          <t>Unassigned</t>
        </is>
      </c>
      <c r="P141" s="107" t="inlineStr">
        <is>
          <t>Bohannon, Stevin</t>
        </is>
      </c>
      <c r="Q141" s="107" t="inlineStr">
        <is>
          <t>Unresolved</t>
        </is>
      </c>
      <c r="R141" s="44" t="inlineStr">
        <is>
          <t>Requested replacement file from client Requested replacement file from client</t>
        </is>
      </c>
      <c r="S141" s="107" t="inlineStr"/>
      <c r="T141" s="107" t="inlineStr"/>
      <c r="U141" s="107" t="inlineStr"/>
      <c r="V141" s="113" t="inlineStr">
        <is>
          <t>Other</t>
        </is>
      </c>
      <c r="W141" s="107" t="inlineStr">
        <is>
          <t>Yes</t>
        </is>
      </c>
    </row>
    <row r="142">
      <c r="A142" s="109" t="inlineStr">
        <is>
          <t>IT-3048183</t>
        </is>
      </c>
      <c r="B142" s="109" t="inlineStr">
        <is>
          <t>IT-3048183</t>
        </is>
      </c>
      <c r="C142" s="109" t="inlineStr"/>
      <c r="D142" s="47" t="inlineStr">
        <is>
          <t>Copy BCBSTN RCCV Data from Nile Dev and Nile QC to Nile Prod</t>
        </is>
      </c>
      <c r="E142" s="47" t="inlineStr">
        <is>
          <t>Hello Team, Reason for this request: BCBSTN RCCV client received sign-off from the business and we are now planning to transition this client to the Production Support team. As part of the checklist document, we need to copy the production data from the Nile Dev and Nile QC environments to Nile Production. I have attached the document containing all the relevant paths. Could you please help us with the data copy. Business Sign-Off Received: ✅ Yes Nile Peer Review: ✅ Yes Entities: Claims, Notouch, Provider exclusion Data Source Environment: NILE DEV and Nile QC Target Environment : NILE PROD Data Range/Volumes: 202303–202604 (Monthly) Additional Notes: If the data already exists in prod, Please leave them as it is. Note : Please retain the user/group permissions Date Needed By: 15/05/2026</t>
        </is>
      </c>
      <c r="F142" s="47" t="inlineStr">
        <is>
          <t>bcbstn_facets_copy from dev to prod.xlsx (23 kB) Hello Del Rosario, Sylma Joy , Could you please provide approval for Sathish to copy the BCBSTN rccv data from Nile Dev / Nile QC to Nile Prod. Approved. Hi Shaik, Parveena All files are copied please verify and confirm i will update permissions Thanks BCBSTN_RCCV_DEV_QC_PROD_20260513.sh</t>
        </is>
      </c>
      <c r="G142" s="47" t="inlineStr">
        <is>
          <t>Files Copied</t>
        </is>
      </c>
      <c r="H142" s="109" t="inlineStr">
        <is>
          <t>Other</t>
        </is>
      </c>
      <c r="I142" s="109" t="inlineStr">
        <is>
          <t>Other</t>
        </is>
      </c>
      <c r="J142" s="109" t="inlineStr"/>
      <c r="K142" s="109" t="inlineStr">
        <is>
          <t>Closed</t>
        </is>
      </c>
      <c r="L142" s="109" t="inlineStr">
        <is>
          <t>2026-05-11</t>
        </is>
      </c>
      <c r="M142" s="109" t="inlineStr">
        <is>
          <t>2026-05-21</t>
        </is>
      </c>
      <c r="N142" s="109" t="inlineStr">
        <is>
          <t>Nile Production Support</t>
        </is>
      </c>
      <c r="O142" s="109" t="inlineStr">
        <is>
          <t>Unassigned</t>
        </is>
      </c>
      <c r="P142" s="109" t="inlineStr">
        <is>
          <t>Shaik, Parveena</t>
        </is>
      </c>
      <c r="Q142" s="109" t="inlineStr">
        <is>
          <t>Resolved</t>
        </is>
      </c>
      <c r="R142" s="47" t="inlineStr">
        <is>
          <t>bcbstn_facets_copy from dev to prod.xlsx (23 kB) Hello Del Rosario, Sylma Joy , Could you please provide approval for Sathish to copy the BCBSTN rccv data from Nile Dev / Nile QC to Nile Prod. Approved. Hi Shaik, Parveena All files are copied please verify and confirm i will update permissions Thanks BCBSTN_RCCV_DEV_QC_PROD_20260513.sh</t>
        </is>
      </c>
      <c r="S142" s="109" t="inlineStr"/>
      <c r="T142" s="109" t="inlineStr"/>
      <c r="U142" s="109" t="inlineStr"/>
      <c r="V142" s="110" t="inlineStr">
        <is>
          <t>Other</t>
        </is>
      </c>
      <c r="W142" s="109" t="inlineStr">
        <is>
          <t>Yes</t>
        </is>
      </c>
    </row>
    <row r="143">
      <c r="A143" s="107" t="inlineStr">
        <is>
          <t>IT-3047760</t>
        </is>
      </c>
      <c r="B143" s="107" t="inlineStr">
        <is>
          <t>IT-3047760</t>
        </is>
      </c>
      <c r="C143" s="107" t="inlineStr"/>
      <c r="D143" s="44" t="inlineStr">
        <is>
          <t>Unable to load data for the Highmark Member weekly process from Nile staging tables to staging tables.</t>
        </is>
      </c>
      <c r="E143" s="44" t="inlineStr">
        <is>
          <t>A new weekly process build has been requested for Highmark Member by Deb. The weekly process has been developed successfully, and data is currently loading into the Nile staging tables without issues. However, we are encountering an issue with the stored procedure responsible for pushing data from the Nile staging tables to the staging tables. Assistance is needed in debugging the stored procedure and identifying the root cause and resolution.</t>
        </is>
      </c>
      <c r="F143" s="44" t="inlineStr"/>
      <c r="G143" s="44" t="inlineStr">
        <is>
          <t>CHanged the stored proc to support member weekly tables</t>
        </is>
      </c>
      <c r="H143" s="107" t="inlineStr">
        <is>
          <t>Other</t>
        </is>
      </c>
      <c r="I143" s="107" t="inlineStr">
        <is>
          <t>Other</t>
        </is>
      </c>
      <c r="J143" s="107" t="inlineStr"/>
      <c r="K143" s="107" t="inlineStr">
        <is>
          <t>Closed</t>
        </is>
      </c>
      <c r="L143" s="107" t="inlineStr">
        <is>
          <t>2026-05-11</t>
        </is>
      </c>
      <c r="M143" s="107" t="inlineStr">
        <is>
          <t>2026-05-13</t>
        </is>
      </c>
      <c r="N143" s="107" t="inlineStr">
        <is>
          <t>Nile Production Support</t>
        </is>
      </c>
      <c r="O143" s="107" t="inlineStr">
        <is>
          <t>Unassigned</t>
        </is>
      </c>
      <c r="P143" s="107" t="inlineStr">
        <is>
          <t>Bongu, Chandramouli</t>
        </is>
      </c>
      <c r="Q143" s="107" t="inlineStr">
        <is>
          <t>Resolved</t>
        </is>
      </c>
      <c r="R143" s="44" t="inlineStr"/>
      <c r="S143" s="107" t="inlineStr"/>
      <c r="T143" s="107" t="inlineStr"/>
      <c r="U143" s="107" t="inlineStr"/>
      <c r="V143" s="113" t="inlineStr">
        <is>
          <t>Other</t>
        </is>
      </c>
      <c r="W143" s="107" t="inlineStr">
        <is>
          <t>Yes</t>
        </is>
      </c>
    </row>
    <row r="144">
      <c r="A144" s="109" t="inlineStr">
        <is>
          <t>IT-3046516</t>
        </is>
      </c>
      <c r="B144" s="109" t="inlineStr">
        <is>
          <t>IT-3046516</t>
        </is>
      </c>
      <c r="C144" s="109" t="inlineStr"/>
      <c r="D144" s="47" t="inlineStr">
        <is>
          <t>PCCV-Centene-Amisys-Claims-ProspectiveTBA-CEPSC-REFACTORING failed due to data retrieved is null</t>
        </is>
      </c>
      <c r="E144" s="47" t="inlineStr">
        <is>
          <t>Pipeline: PCCV-Centene-Amisys-Claims-ProspectiveTBA-CEPSC-REFACTORING is getting failed in data-transformer stage due to data filie retrieving zero files. Files seems to be in 0.26kb size, Can someone please analyze on the data file.</t>
        </is>
      </c>
      <c r="F144" s="47" t="inlineStr">
        <is>
          <t>pipeline completed</t>
        </is>
      </c>
      <c r="G144" s="47" t="inlineStr">
        <is>
          <t>pipeline completed</t>
        </is>
      </c>
      <c r="H144" s="109" t="inlineStr">
        <is>
          <t>Other</t>
        </is>
      </c>
      <c r="I144" s="109" t="inlineStr">
        <is>
          <t>Other</t>
        </is>
      </c>
      <c r="J144" s="109" t="inlineStr"/>
      <c r="K144" s="109" t="inlineStr">
        <is>
          <t>Closed</t>
        </is>
      </c>
      <c r="L144" s="109" t="inlineStr">
        <is>
          <t>2026-05-10</t>
        </is>
      </c>
      <c r="M144" s="109" t="inlineStr">
        <is>
          <t>2026-05-12</t>
        </is>
      </c>
      <c r="N144" s="109" t="inlineStr">
        <is>
          <t>Nile Production Support</t>
        </is>
      </c>
      <c r="O144" s="109" t="inlineStr">
        <is>
          <t>Unassigned</t>
        </is>
      </c>
      <c r="P144" s="109" t="inlineStr">
        <is>
          <t>Raya, Birajan</t>
        </is>
      </c>
      <c r="Q144" s="109" t="inlineStr">
        <is>
          <t>Resolved</t>
        </is>
      </c>
      <c r="R144" s="47" t="inlineStr">
        <is>
          <t>pipeline completed</t>
        </is>
      </c>
      <c r="S144" s="109" t="inlineStr"/>
      <c r="T144" s="109" t="inlineStr"/>
      <c r="U144" s="109" t="inlineStr"/>
      <c r="V144" s="112" t="inlineStr">
        <is>
          <t>Pipeline Schedule</t>
        </is>
      </c>
      <c r="W144" s="109" t="inlineStr"/>
    </row>
    <row r="145">
      <c r="A145" s="107" t="inlineStr">
        <is>
          <t>IT-3046420</t>
        </is>
      </c>
      <c r="B145" s="107" t="inlineStr">
        <is>
          <t>IT-3046420</t>
        </is>
      </c>
      <c r="C145" s="107" t="inlineStr"/>
      <c r="D145" s="44" t="inlineStr">
        <is>
          <t>NAS spoolers are getting failed.</t>
        </is>
      </c>
      <c r="E145" s="44" t="inlineStr">
        <is>
          <t>NAS spoolers are being failed.</t>
        </is>
      </c>
      <c r="F145" s="44" t="inlineStr">
        <is>
          <t>IT-3046419 "NAS spoolers are getting failed." has been changed to a status of Resolved Please check this issue for more details IT-3046419 "NAS spoolers are getting failed." has been changed to a status of Resolved Please check this issue for more details IT-3046419 "NAS spoolers are getting failed." has been changed to a status of Resolved Please check this issue for more details</t>
        </is>
      </c>
      <c r="G145" s="44" t="inlineStr">
        <is>
          <t>We have encountered a spooler failure issue this noon in prod. Based on the observation, the spooler failures were caused due to the NAS spooler relying on a single Axway server endpoint for processing. During the Linux maintenance activity, the server currently being used by Nile was rebooted, which interrupted the spooler processes since there was no load balancing or failover configuration available to route the traffic to another active server. Along with this, authentication failures were also encountered while accessing the Axway transfer log endpoint, which further impacted the spooler flow. Overall, the issue indicates that the current implementation has a dependency on a single server endpoint, making the spooler vulnerable during server maintenance or unexpected outages. In detail: The spooler currently uses the endpoint https://gad1pt2axcore01:8444/api/v2.0/logs/transfers, and during execution the endpoint encountered an authentication failure while attempting to retrieve file details from the Axway transfer log endpoint before initiating the spooling activity, which caused the spooler flow to fail. Additionally, a Linux patch maintenance activity was being performed during the same timeframe, where the servers were rebooted sequentially, starting with server 01 followed by server 02. Since Nile is currently configured to exclusively use the 01 server for Axway communication, the spooler processes failed when the server went down for maintenance. A discussion was held with the engineering team regarding the usage of the direct server endpoint instead of the available load-balanced endpoint https://transfer2admin.cotiviti.com . The load balancer endpoint should ideally be used and that similar issues had been observed previously. The engineering team mentioned that they have already decided to migrate the integration to the load-balanced endpoint, and the fix is expected to be included in an upcoming release. The spoolers now seem to be working fine.</t>
        </is>
      </c>
      <c r="H145" s="107" t="inlineStr"/>
      <c r="I145" s="107" t="inlineStr"/>
      <c r="J145" s="107" t="inlineStr"/>
      <c r="K145" s="107" t="inlineStr">
        <is>
          <t>Closed</t>
        </is>
      </c>
      <c r="L145" s="107" t="inlineStr">
        <is>
          <t>2026-05-10</t>
        </is>
      </c>
      <c r="M145" s="107" t="inlineStr">
        <is>
          <t>2026-05-12</t>
        </is>
      </c>
      <c r="N145" s="107" t="inlineStr">
        <is>
          <t>Nile Production Support</t>
        </is>
      </c>
      <c r="O145" s="107" t="inlineStr">
        <is>
          <t>Unassigned</t>
        </is>
      </c>
      <c r="P145" s="107" t="inlineStr">
        <is>
          <t>Acharya, Suraj</t>
        </is>
      </c>
      <c r="Q145" s="107" t="inlineStr">
        <is>
          <t>Closed</t>
        </is>
      </c>
      <c r="R145" s="44" t="inlineStr">
        <is>
          <t>IT-3046419 "NAS spoolers are getting failed." has been changed to a status of Resolved Please check this issue for more details IT-3046419 "NAS spoolers are getting failed." has been changed to a status of Resolved Please check this issue for more details IT-3046419 "NAS spoolers are getting failed." has been changed to a status of Resolved Please check this issue for more details</t>
        </is>
      </c>
      <c r="S145" s="107" t="inlineStr"/>
      <c r="T145" s="107" t="inlineStr"/>
      <c r="U145" s="107" t="inlineStr"/>
      <c r="V145" s="115" t="inlineStr">
        <is>
          <t>Spooler issue</t>
        </is>
      </c>
      <c r="W145" s="107" t="inlineStr"/>
    </row>
    <row r="146">
      <c r="A146" s="109" t="inlineStr">
        <is>
          <t>IT-3044416</t>
        </is>
      </c>
      <c r="B146" s="109" t="inlineStr">
        <is>
          <t>IT-3044416</t>
        </is>
      </c>
      <c r="C146" s="109" t="inlineStr"/>
      <c r="D146" s="47" t="inlineStr">
        <is>
          <t>Copy files From Nile Prod Raw path to Nile QC Raw path - UHC-CSP</t>
        </is>
      </c>
      <c r="E146" s="47" t="inlineStr">
        <is>
          <t>Hi Team, Could you please copy all the data for the date given below from the Nile PROD raw path to the Nile QC raw path? 20260419 20260426 Nile PROD RAW PATH (Source): /dataingestionprod/raw/restricted/19-uhc-csp Nile QC RAW PATH (Target): /dataingestionqc/raw/restricted/19-uhc-csp Once copied to QC, the owner should be set to "svcpnilediqcraw" and group should be set to "qcunrestricted" and permissions should be 750.</t>
        </is>
      </c>
      <c r="F146" s="47" t="inlineStr">
        <is>
          <t>Files are copied please verify</t>
        </is>
      </c>
      <c r="G146" s="47" t="inlineStr">
        <is>
          <t>files copied</t>
        </is>
      </c>
      <c r="H146" s="109" t="inlineStr">
        <is>
          <t>Other</t>
        </is>
      </c>
      <c r="I146" s="109" t="inlineStr">
        <is>
          <t>Other</t>
        </is>
      </c>
      <c r="J146" s="109" t="inlineStr"/>
      <c r="K146" s="109" t="inlineStr">
        <is>
          <t>Closed</t>
        </is>
      </c>
      <c r="L146" s="109" t="inlineStr">
        <is>
          <t>2026-05-08</t>
        </is>
      </c>
      <c r="M146" s="109" t="inlineStr">
        <is>
          <t>2026-05-08</t>
        </is>
      </c>
      <c r="N146" s="109" t="inlineStr">
        <is>
          <t>Nile Production Support</t>
        </is>
      </c>
      <c r="O146" s="109" t="inlineStr">
        <is>
          <t>Unassigned</t>
        </is>
      </c>
      <c r="P146" s="109" t="inlineStr">
        <is>
          <t>Pati, Jagadeesh Chandra</t>
        </is>
      </c>
      <c r="Q146" s="109" t="inlineStr">
        <is>
          <t>Resolved</t>
        </is>
      </c>
      <c r="R146" s="47" t="inlineStr">
        <is>
          <t>Files are copied please verify</t>
        </is>
      </c>
      <c r="S146" s="109" t="inlineStr"/>
      <c r="T146" s="109" t="inlineStr"/>
      <c r="U146" s="109" t="inlineStr"/>
      <c r="V146" s="110" t="inlineStr">
        <is>
          <t>Other</t>
        </is>
      </c>
      <c r="W146" s="109" t="inlineStr">
        <is>
          <t>Yes</t>
        </is>
      </c>
    </row>
    <row r="147">
      <c r="A147" s="107" t="inlineStr">
        <is>
          <t>IT-3044057</t>
        </is>
      </c>
      <c r="B147" s="107" t="inlineStr">
        <is>
          <t>IT-3044057</t>
        </is>
      </c>
      <c r="C147" s="107" t="inlineStr"/>
      <c r="D147" s="44" t="inlineStr">
        <is>
          <t>Prebc daily and outpation file failures 5/8/26 - escalated to Nile Team</t>
        </is>
      </c>
      <c r="E147" s="44" t="inlineStr"/>
      <c r="F147" s="44" t="inlineStr">
        <is>
          <t>Files re submitted and processed from PC end without any issue.</t>
        </is>
      </c>
      <c r="G147" s="44" t="inlineStr">
        <is>
          <t>Files re submitted and processed from PC end without any issue.</t>
        </is>
      </c>
      <c r="H147" s="107" t="inlineStr"/>
      <c r="I147" s="107" t="inlineStr"/>
      <c r="J147" s="107" t="inlineStr"/>
      <c r="K147" s="107" t="inlineStr">
        <is>
          <t>Closed</t>
        </is>
      </c>
      <c r="L147" s="107" t="inlineStr">
        <is>
          <t>2026-05-08</t>
        </is>
      </c>
      <c r="M147" s="107" t="inlineStr">
        <is>
          <t>2026-05-11</t>
        </is>
      </c>
      <c r="N147" s="107" t="inlineStr">
        <is>
          <t>Nile Production Support</t>
        </is>
      </c>
      <c r="O147" s="107" t="inlineStr">
        <is>
          <t>Unassigned</t>
        </is>
      </c>
      <c r="P147" s="107" t="inlineStr">
        <is>
          <t>Bohannon, Stevin</t>
        </is>
      </c>
      <c r="Q147" s="107" t="inlineStr">
        <is>
          <t>Closed</t>
        </is>
      </c>
      <c r="R147" s="44" t="inlineStr">
        <is>
          <t>Files re submitted and processed from PC end without any issue.</t>
        </is>
      </c>
      <c r="S147" s="107" t="inlineStr"/>
      <c r="T147" s="107" t="inlineStr"/>
      <c r="U147" s="107" t="inlineStr"/>
      <c r="V147" s="113" t="inlineStr">
        <is>
          <t>Other</t>
        </is>
      </c>
      <c r="W147" s="107" t="inlineStr">
        <is>
          <t>Yes</t>
        </is>
      </c>
    </row>
    <row r="148">
      <c r="A148" s="109" t="inlineStr">
        <is>
          <t>IT-3044032</t>
        </is>
      </c>
      <c r="B148" s="109" t="inlineStr">
        <is>
          <t>IT-3044032</t>
        </is>
      </c>
      <c r="C148" s="109" t="inlineStr"/>
      <c r="D148" s="47" t="inlineStr">
        <is>
          <t>Monthly rccv pipeline rccv-healthfirst-powermhs_tba_institutional_claims_processed_GDF2_8_CDF2_8_monthly_new is getting failed for 2026/04</t>
        </is>
      </c>
      <c r="E148" s="47" t="inlineStr">
        <is>
          <t>Above pipeline is getting failed with below error. It seems like we have processed weekly files. Please crosscheck and help run the pipeline. Week Number Start Date End Date Data Received Expected Received Filter to be Used 01 20260330 20260405 YES NO 02 20260406 20260412 20260406_1,20260412_1 YES YES 20260406_1,20260412_1 03 20260413 20260419 20260419_1 YES YES 04 20260420 20260426 YES NO 05 20260427 20260503 20260427_1 YES YES Summary Missing data for the following weeks: { }  Week Number Start Date End Date 01 20260330 20260405 04 20260420 20260426 Please notify the escalation contacts about the missing data. If missing data is valid and the error needs to be overridden, set parameter rccv_gdf_institutional_medicalclaims_missing_weekly_data_202604 to 1 in the Client Configuration and proceed with the run.</t>
        </is>
      </c>
      <c r="F148" s="47" t="inlineStr">
        <is>
          <t>Confirmed the receipt of the files and proceeding with the ingestion. pipeline is running now Hello Amik, In the ccv_weekly_data_validation_module, the logic checks for files received within a week specifically for Monday, Tuesday, and Wednesday. However, based on the calendar observations: Mar 30th – Apr 5th: File received on Apr 6th Apr 6th – Apr 12th: Files received on Apr 6th and Apr 12th, both within the same week Apr 13th – Apr 19th: File received on Apr 19th Apr 20th – Apr 26th: File received on Apr 27th Apr 27th – May 3rd: File already received on Apr 27th From the highlighted dates, we can observe that files weren't received within the weekly span. However, during processing, the pipeline continues waiting for an additional file with a date falling within the same week range, which is causing the pipeline failure. To proceed with processing for the April month, we used the override parameter: rccv_gdf_institutional_medicalclaims_missing_weekly_data_202604 in the client configurations, and the processing has now been completed successfully. However, i am still working on this module logics to understand deeper and prevent such relevant failures in the future.</t>
        </is>
      </c>
      <c r="G148" s="47" t="inlineStr">
        <is>
          <t>Issue resolved but testing on use cases in dev.</t>
        </is>
      </c>
      <c r="H148" s="109" t="inlineStr">
        <is>
          <t>Other</t>
        </is>
      </c>
      <c r="I148" s="109" t="inlineStr">
        <is>
          <t>Other</t>
        </is>
      </c>
      <c r="J148" s="109" t="inlineStr"/>
      <c r="K148" s="109" t="inlineStr">
        <is>
          <t>Closed</t>
        </is>
      </c>
      <c r="L148" s="109" t="inlineStr">
        <is>
          <t>2026-05-08</t>
        </is>
      </c>
      <c r="M148" s="109" t="inlineStr">
        <is>
          <t>2026-05-18</t>
        </is>
      </c>
      <c r="N148" s="109" t="inlineStr">
        <is>
          <t>Nile Production Support</t>
        </is>
      </c>
      <c r="O148" s="109" t="inlineStr">
        <is>
          <t>Unassigned</t>
        </is>
      </c>
      <c r="P148" s="109" t="inlineStr">
        <is>
          <t>Kandel, Amik</t>
        </is>
      </c>
      <c r="Q148" s="109" t="inlineStr">
        <is>
          <t>Resolved</t>
        </is>
      </c>
      <c r="R148" s="47" t="inlineStr">
        <is>
          <t>Confirmed the receipt of the files and proceeding with the ingestion. pipeline is running now Hello Amik, In the ccv_weekly_data_validation_module, the logic checks for files received within a week specifically for Monday, Tuesday, and Wednesday. However, based on the calendar observations: Mar 30th – Apr 5th: File received on Apr 6th Apr 6th – Apr 12th: Files received on Apr 6th and Apr 12th, both within the same week Apr 13th – Apr 19th: File received on Apr 19th Apr 20th – Apr 26th: File received on Apr 27th Apr 27th – May 3rd: File already received on Apr 27th From the highlighted dates, we can observe that files weren't received within the weekly span. However, during processing, the pipeline continues waiting for an additional file with a date falling within the same week range, which is causing the pipeline failure. To proceed with processing for the April month, we used the override parameter: rccv_gdf_institutional_medicalclaims_missing_weekly_data_202604 in the client configurations, and the processing has now been completed successfully. However, i am still working on this module logics to understand deeper and prevent such relevant failures in the future.</t>
        </is>
      </c>
      <c r="S148" s="109" t="inlineStr"/>
      <c r="T148" s="109" t="inlineStr"/>
      <c r="U148" s="109" t="inlineStr"/>
      <c r="V148" s="118" t="inlineStr">
        <is>
          <t>Configuration Issue</t>
        </is>
      </c>
      <c r="W148" s="109" t="inlineStr"/>
    </row>
    <row r="149">
      <c r="A149" s="107" t="inlineStr">
        <is>
          <t>IT-3044007</t>
        </is>
      </c>
      <c r="B149" s="107" t="inlineStr">
        <is>
          <t>IT-3044007</t>
        </is>
      </c>
      <c r="C149" s="107" t="inlineStr"/>
      <c r="D149" s="44" t="inlineStr">
        <is>
          <t>Monthly pipeline dm-independence-ibc-actian_migration_claims is getting failed for 05/05</t>
        </is>
      </c>
      <c r="E149" s="44" t="inlineStr">
        <is>
          <t>Above pipeline is getting failed with below error message.Please investigate and fix. Source entity claim Impala database prod_niledataingestion_unrestricted Raw data Impala table independence_ibc_raw_claim_20260505_1 Transformed data Impala table independence_ibc_transformed_claim_20260505_1 Raw file name(s) con_clm_extract_r_20260408_184221.txt,con_clm_extract_r_20260415_184443.txt,con_clm_extract_r_20260422_184055.txt,con_clm_extract_r_20260429_183814.txt Errors ** Error Description Error count Error Percentage SrcSysClmLnID should have a maximum of 20 characters 6 0.00 field statistics summary detail Action Required Investigate and fix if the issue is due to transform mapping or some other reason. If issue is to be ignored, in Client Configuration set parameter claim_unmatched_validation_error_count_override_20260505 to 1 and proceed with the run</t>
        </is>
      </c>
      <c r="F149" s="44" t="inlineStr">
        <is>
          <t>Hi Satish or Sambeg, Would you please help move this ingestion for Ronnie? We identified the 6 bad records that caused the truncation here: Ronnie will need to create an ad hoc table, by expaning the column SRC_SYS_CLM_LN_ID from 20 to (maybe) 50 characters. Ronnie will give you the ad hoc table name, and from there, we need to adjust our pipeline and load it to the ad hoc table. Thank you so much in advance, melly Hi Castro, Ronald , Has the new table been created? cc: Suryani, Melly ; Devatha, Satish I have updated the configurations and processed the pipeline. It was completed successfully. reviewed the data. Exceeded filed size of rows loaded into temp table and pipeline processed successfully.</t>
        </is>
      </c>
      <c r="G149" s="44" t="inlineStr">
        <is>
          <t>Exceeded filed size of rows loaded into temp table and pipeline processed successfully.</t>
        </is>
      </c>
      <c r="H149" s="107" t="inlineStr">
        <is>
          <t>Other</t>
        </is>
      </c>
      <c r="I149" s="107" t="inlineStr">
        <is>
          <t>Other</t>
        </is>
      </c>
      <c r="J149" s="107" t="inlineStr"/>
      <c r="K149" s="107" t="inlineStr">
        <is>
          <t>Closed</t>
        </is>
      </c>
      <c r="L149" s="107" t="inlineStr">
        <is>
          <t>2026-05-08</t>
        </is>
      </c>
      <c r="M149" s="107" t="inlineStr">
        <is>
          <t>2026-05-12</t>
        </is>
      </c>
      <c r="N149" s="107" t="inlineStr">
        <is>
          <t>Nile Production Support</t>
        </is>
      </c>
      <c r="O149" s="107" t="inlineStr">
        <is>
          <t>Unassigned</t>
        </is>
      </c>
      <c r="P149" s="107" t="inlineStr">
        <is>
          <t>Kandel, Amik</t>
        </is>
      </c>
      <c r="Q149" s="107" t="inlineStr">
        <is>
          <t>Resolved</t>
        </is>
      </c>
      <c r="R149" s="44" t="inlineStr">
        <is>
          <t>Hi Satish or Sambeg, Would you please help move this ingestion for Ronnie? We identified the 6 bad records that caused the truncation here: Ronnie will need to create an ad hoc table, by expaning the column SRC_SYS_CLM_LN_ID from 20 to (maybe) 50 characters. Ronnie will give you the ad hoc table name, and from there, we need to adjust our pipeline and load it to the ad hoc table. Thank you so much in advance, melly Hi Castro, Ronald , Has the new table been created? cc: Suryani, Melly ; Devatha, Satish I have updated the configurations and processed the pipeline. It was completed successfully. reviewed the data. Exceeded filed size of rows loaded into temp table and pipeline processed successfully.</t>
        </is>
      </c>
      <c r="S149" s="107" t="inlineStr"/>
      <c r="T149" s="107" t="inlineStr"/>
      <c r="U149" s="107" t="inlineStr"/>
      <c r="V149" s="111" t="inlineStr">
        <is>
          <t>Pipeline Schedule</t>
        </is>
      </c>
      <c r="W149" s="107" t="inlineStr"/>
    </row>
    <row r="150">
      <c r="A150" s="109" t="inlineStr">
        <is>
          <t>IT-3043942</t>
        </is>
      </c>
      <c r="B150" s="109" t="inlineStr">
        <is>
          <t>IT-3043942</t>
        </is>
      </c>
      <c r="C150" s="109" t="inlineStr"/>
      <c r="D150" s="47" t="inlineStr">
        <is>
          <t>Premera prof file got failed in file-writer stage</t>
        </is>
      </c>
      <c r="E150" s="47" t="inlineStr">
        <is>
          <t>Pipeline: ppm-premera-bluecross-tba_professional_claims_GDF2_2_CDF2_2_lean_ingestion got failed in file-writer stage with error msg "FileWriterStage Service failed to execute successfully.Please Check Server Configuration" Please do have a look on this.</t>
        </is>
      </c>
      <c r="F150" s="47" t="inlineStr">
        <is>
          <t>Files resubmitted and processed. Ticket from PC team: https://jiraet.cotiviti.com/browse/IT-3044057</t>
        </is>
      </c>
      <c r="G150" s="47" t="inlineStr">
        <is>
          <t>Files resubmitted and processed. Ticket from PC team: https://jiraet.cotiviti.com/browse/IT-3044057</t>
        </is>
      </c>
      <c r="H150" s="109" t="inlineStr">
        <is>
          <t>Other</t>
        </is>
      </c>
      <c r="I150" s="109" t="inlineStr">
        <is>
          <t>Other</t>
        </is>
      </c>
      <c r="J150" s="109" t="inlineStr"/>
      <c r="K150" s="109" t="inlineStr">
        <is>
          <t>Closed</t>
        </is>
      </c>
      <c r="L150" s="109" t="inlineStr">
        <is>
          <t>2026-05-08</t>
        </is>
      </c>
      <c r="M150" s="109" t="inlineStr">
        <is>
          <t>2026-05-10</t>
        </is>
      </c>
      <c r="N150" s="109" t="inlineStr">
        <is>
          <t>Nile Production Support</t>
        </is>
      </c>
      <c r="O150" s="109" t="inlineStr">
        <is>
          <t>Unassigned</t>
        </is>
      </c>
      <c r="P150" s="109" t="inlineStr">
        <is>
          <t>Raya, Birajan</t>
        </is>
      </c>
      <c r="Q150" s="109" t="inlineStr">
        <is>
          <t>Resolved</t>
        </is>
      </c>
      <c r="R150" s="47" t="inlineStr">
        <is>
          <t>Files resubmitted and processed. Ticket from PC team: https://jiraet.cotiviti.com/browse/IT-3044057</t>
        </is>
      </c>
      <c r="S150" s="109" t="inlineStr"/>
      <c r="T150" s="109" t="inlineStr"/>
      <c r="U150" s="109" t="inlineStr"/>
      <c r="V150" s="112" t="inlineStr">
        <is>
          <t>Pipeline Schedule</t>
        </is>
      </c>
      <c r="W150" s="109" t="inlineStr"/>
    </row>
    <row r="151">
      <c r="A151" s="107" t="inlineStr">
        <is>
          <t>IT-3043812</t>
        </is>
      </c>
      <c r="B151" s="107" t="inlineStr">
        <is>
          <t>IT-3043812</t>
        </is>
      </c>
      <c r="C151" s="107" t="inlineStr"/>
      <c r="D151" s="44" t="inlineStr">
        <is>
          <t>Monthly Pipeline for usaa - ccs history professional &amp; provider files issue with unmatched raw data count</t>
        </is>
      </c>
      <c r="E151" s="44" t="inlineStr">
        <is>
          <t>Pipeline: fwa-usaa-ccs-history_professional_claims_GDF2_6_CDF2_6 File name usaa_history_professional_incoming_20260505_1.txt File header record count 1034497 File trailer record count 1034497 File data line count 1034497 Ingested row count 1034491 Action Required Investigate and fix if the issue is due to data quality, data load error, or some other reasons. If issue is minor and can be ignored, in Client Configuration set parameter gdf_professional_claims_unmatched_raw_count_override_20260505 to 1 and proceed with the run Pipeline: fwa-usaa-ccs-provider_GDF2_6_CDF2_6 ** File name usaa_provider_incoming_20260505_1.txt File header record count 328191 File trailer record count 328191 File data line count 328191 Ingested row count 328190 Action Required Investigate and fix if the issue is due to data quality, data load error, or some other reasons. If issue is minor and can be ignored, in Client Configuration set parameter gdf_provider_unmatched_raw_count_override_20260505 to 1 and proceed with the run Please investigate and help fix the issue.</t>
        </is>
      </c>
      <c r="F151" s="44" t="inlineStr">
        <is>
          <t>got a confirmation from User Added override parameters and pipelines are completed Thank you Devatha, Satish ! Satish asked the users, overrode the params, and proceeded. This is something that the monitoring team can do on their own.</t>
        </is>
      </c>
      <c r="G151" s="44" t="inlineStr">
        <is>
          <t>Satish asked the users, overrode the params, and proceeded.</t>
        </is>
      </c>
      <c r="H151" s="107" t="inlineStr">
        <is>
          <t>Other</t>
        </is>
      </c>
      <c r="I151" s="107" t="inlineStr">
        <is>
          <t>Other</t>
        </is>
      </c>
      <c r="J151" s="107" t="inlineStr"/>
      <c r="K151" s="107" t="inlineStr">
        <is>
          <t>Closed</t>
        </is>
      </c>
      <c r="L151" s="107" t="inlineStr">
        <is>
          <t>2026-05-08</t>
        </is>
      </c>
      <c r="M151" s="107" t="inlineStr">
        <is>
          <t>2026-05-12</t>
        </is>
      </c>
      <c r="N151" s="107" t="inlineStr">
        <is>
          <t>Nile Production Support</t>
        </is>
      </c>
      <c r="O151" s="107" t="inlineStr">
        <is>
          <t>Unassigned</t>
        </is>
      </c>
      <c r="P151" s="107" t="inlineStr">
        <is>
          <t>Kandel, Amik</t>
        </is>
      </c>
      <c r="Q151" s="107" t="inlineStr">
        <is>
          <t>Resolved</t>
        </is>
      </c>
      <c r="R151" s="44" t="inlineStr">
        <is>
          <t>got a confirmation from User Added override parameters and pipelines are completed Thank you Devatha, Satish ! Satish asked the users, overrode the params, and proceeded. This is something that the monitoring team can do on their own.</t>
        </is>
      </c>
      <c r="S151" s="107" t="inlineStr"/>
      <c r="T151" s="107" t="inlineStr"/>
      <c r="U151" s="107" t="inlineStr"/>
      <c r="V151" s="123" t="inlineStr">
        <is>
          <t>Configuration Issue</t>
        </is>
      </c>
      <c r="W151" s="107" t="inlineStr"/>
    </row>
    <row r="152">
      <c r="A152" s="109" t="inlineStr">
        <is>
          <t>IT-3043013</t>
        </is>
      </c>
      <c r="B152" s="109" t="inlineStr">
        <is>
          <t>IT-3043013</t>
        </is>
      </c>
      <c r="C152" s="109" t="inlineStr"/>
      <c r="D152" s="47" t="inlineStr">
        <is>
          <t>Please copy some decrypted Independence NoTouch files to a Windows directory</t>
        </is>
      </c>
      <c r="E152" s="47" t="inlineStr">
        <is>
          <t>Please copy the following decrypted Independence NoTouch files to the target Windows directory listed below. FileNames: con_clm_return_file_20260414.txt con_clm_return_file_20260421.txt con_clm_return_file_20260428.txt con_clm_return_file_20260501.txt con_clm_return_file_20260504.txt Target Directory: \\ccaintranet.com\dfs-dc-01\Ftp\B2B\Independencebc\To_Connolly\To_Audit</t>
        </is>
      </c>
      <c r="F152" s="47" t="inlineStr"/>
      <c r="G152" s="47" t="inlineStr">
        <is>
          <t>Gave all the files to Ronnie.</t>
        </is>
      </c>
      <c r="H152" s="109" t="inlineStr">
        <is>
          <t>Other</t>
        </is>
      </c>
      <c r="I152" s="109" t="inlineStr">
        <is>
          <t>Other</t>
        </is>
      </c>
      <c r="J152" s="109" t="inlineStr"/>
      <c r="K152" s="109" t="inlineStr">
        <is>
          <t>Closed</t>
        </is>
      </c>
      <c r="L152" s="109" t="inlineStr">
        <is>
          <t>2026-05-07</t>
        </is>
      </c>
      <c r="M152" s="109" t="inlineStr">
        <is>
          <t>2026-05-15</t>
        </is>
      </c>
      <c r="N152" s="109" t="inlineStr">
        <is>
          <t>Nile Production Support</t>
        </is>
      </c>
      <c r="O152" s="109" t="inlineStr">
        <is>
          <t>Unassigned</t>
        </is>
      </c>
      <c r="P152" s="109" t="inlineStr">
        <is>
          <t>Castro, Ronald</t>
        </is>
      </c>
      <c r="Q152" s="109" t="inlineStr">
        <is>
          <t>Resolved</t>
        </is>
      </c>
      <c r="R152" s="47" t="inlineStr"/>
      <c r="S152" s="109" t="inlineStr"/>
      <c r="T152" s="109" t="inlineStr"/>
      <c r="U152" s="109" t="inlineStr"/>
      <c r="V152" s="120" t="inlineStr">
        <is>
          <t>Spooler issue</t>
        </is>
      </c>
      <c r="W152" s="109" t="inlineStr"/>
    </row>
    <row r="153">
      <c r="A153" s="107" t="inlineStr">
        <is>
          <t>IT-3042582</t>
        </is>
      </c>
      <c r="B153" s="107" t="inlineStr">
        <is>
          <t>IT-3042582</t>
        </is>
      </c>
      <c r="C153" s="107" t="inlineStr"/>
      <c r="D153" s="44" t="inlineStr">
        <is>
          <t>HCSC files not processing at Cotiviti</t>
        </is>
      </c>
      <c r="E153" s="44" t="inlineStr">
        <is>
          <t>Per request from the client they have scheduled a meeting Thursday May 7th at 3:30PM EST. Please see the attachment for the reason for the meeting</t>
        </is>
      </c>
      <c r="F153" s="44" t="inlineStr">
        <is>
          <t>RE CIGMC cigmc_daily_incoming file failure 05032026 .msg (149 kB) Attended the meeting with client (Cigna) - "file not processing at cotiviti" - 4.30-5pm est Thursday May 7th. After digging, it was due to Provider ID being NULL (rendering provider). Client acknowledged and will work on it.</t>
        </is>
      </c>
      <c r="G153" s="44" t="inlineStr">
        <is>
          <t>Attended the meeting with client (Cigna) - "file not processing at cotiviti" - 4.30-5pm est Thursday May 7th. After digging, it was due to Provider ID being NULL (rendering provider). Client acknowledged and will work on it.</t>
        </is>
      </c>
      <c r="H153" s="107" t="inlineStr">
        <is>
          <t>Other</t>
        </is>
      </c>
      <c r="I153" s="107" t="inlineStr">
        <is>
          <t>Other</t>
        </is>
      </c>
      <c r="J153" s="107" t="inlineStr"/>
      <c r="K153" s="107" t="inlineStr">
        <is>
          <t>Closed</t>
        </is>
      </c>
      <c r="L153" s="107" t="inlineStr">
        <is>
          <t>2026-05-07</t>
        </is>
      </c>
      <c r="M153" s="107" t="inlineStr">
        <is>
          <t>2026-05-12</t>
        </is>
      </c>
      <c r="N153" s="107" t="inlineStr">
        <is>
          <t>Nile Production Support</t>
        </is>
      </c>
      <c r="O153" s="107" t="inlineStr">
        <is>
          <t>Unassigned</t>
        </is>
      </c>
      <c r="P153" s="107" t="inlineStr">
        <is>
          <t>Briguglio, Katrina</t>
        </is>
      </c>
      <c r="Q153" s="107" t="inlineStr">
        <is>
          <t>Resolved</t>
        </is>
      </c>
      <c r="R153" s="44" t="inlineStr">
        <is>
          <t>RE CIGMC cigmc_daily_incoming file failure 05032026 .msg (149 kB) Attended the meeting with client (Cigna) - "file not processing at cotiviti" - 4.30-5pm est Thursday May 7th. After digging, it was due to Provider ID being NULL (rendering provider). Client acknowledged and will work on it.</t>
        </is>
      </c>
      <c r="S153" s="107" t="inlineStr"/>
      <c r="T153" s="107" t="inlineStr"/>
      <c r="U153" s="107" t="inlineStr"/>
      <c r="V153" s="121" t="inlineStr">
        <is>
          <t>File Issue</t>
        </is>
      </c>
      <c r="W153" s="107" t="inlineStr"/>
    </row>
    <row r="154">
      <c r="A154" s="109" t="inlineStr">
        <is>
          <t>IT-3042417</t>
        </is>
      </c>
      <c r="B154" s="109" t="inlineStr">
        <is>
          <t>IT-3042417</t>
        </is>
      </c>
      <c r="C154" s="109" t="inlineStr"/>
      <c r="D154" s="47" t="inlineStr">
        <is>
          <t>History Ingestion for Harvard pilgrim-ohi</t>
        </is>
      </c>
      <c r="E154" s="47" t="inlineStr">
        <is>
          <t>Hello, I need help on copying data from prod---&gt;Dev for the client Harvard Pilgrim-ohi location : /dataingestionprod/raw/restricted/269- harvardpilgrim-ohi to /dataingestiondev/raw/restricted/327-harvardpilgrim-ohi I need all the data from 20251112-20260506 montly and weekly files which is YYYYMMDD and YYYYMM Here are the file names: --Source Files Weekly: extr_cly_claim_*.zip extr_cly_claim_ctl_*.zip extr_cly_code_*.zip extr_cly_member_*.zip extr_cly_member_ctl_*.zip extr_cly_pharmacy_*.zip extr_cly_pharmacy_ctl_*.zip extr_cly_provider_*.zip extr_cly_provider_ctl_*.zip --Source Files Monthly: extr_clymed_claim_*.zip extr_clymed_claim_ctl_*.zip extr_clymed_member_*zip extr_clymed_member_ctl_*zip extr_clymed_pharmacy_*zip extr_clymed_pharmacy_ctl_*zip</t>
        </is>
      </c>
      <c r="F154" s="47" t="inlineStr">
        <is>
          <t>Hi Nuvvula, Nohitha Can you please share source path and target paths clearly Hi Nuvvula, Nohitha files copied updated permissions also Thanks</t>
        </is>
      </c>
      <c r="G154" s="47" t="inlineStr">
        <is>
          <t>files copied updated permissions also</t>
        </is>
      </c>
      <c r="H154" s="109" t="inlineStr">
        <is>
          <t>Other</t>
        </is>
      </c>
      <c r="I154" s="109" t="inlineStr">
        <is>
          <t>Other</t>
        </is>
      </c>
      <c r="J154" s="109" t="inlineStr"/>
      <c r="K154" s="109" t="inlineStr">
        <is>
          <t>Closed</t>
        </is>
      </c>
      <c r="L154" s="109" t="inlineStr">
        <is>
          <t>2026-05-07</t>
        </is>
      </c>
      <c r="M154" s="109" t="inlineStr">
        <is>
          <t>2026-05-11</t>
        </is>
      </c>
      <c r="N154" s="109" t="inlineStr">
        <is>
          <t>Nile Production Support</t>
        </is>
      </c>
      <c r="O154" s="109" t="inlineStr">
        <is>
          <t>Unassigned</t>
        </is>
      </c>
      <c r="P154" s="109" t="inlineStr">
        <is>
          <t>Nuvvula, Nohitha</t>
        </is>
      </c>
      <c r="Q154" s="109" t="inlineStr">
        <is>
          <t>Resolved</t>
        </is>
      </c>
      <c r="R154" s="47" t="inlineStr">
        <is>
          <t>Hi Nuvvula, Nohitha Can you please share source path and target paths clearly Hi Nuvvula, Nohitha files copied updated permissions also Thanks</t>
        </is>
      </c>
      <c r="S154" s="109" t="inlineStr"/>
      <c r="T154" s="109" t="inlineStr"/>
      <c r="U154" s="109" t="inlineStr"/>
      <c r="V154" s="110" t="inlineStr">
        <is>
          <t>Other</t>
        </is>
      </c>
      <c r="W154" s="109" t="inlineStr">
        <is>
          <t>Yes</t>
        </is>
      </c>
    </row>
    <row r="155">
      <c r="A155" s="107" t="inlineStr">
        <is>
          <t>IT-3041092</t>
        </is>
      </c>
      <c r="B155" s="107" t="inlineStr">
        <is>
          <t>IT-3041092</t>
        </is>
      </c>
      <c r="C155" s="107" t="inlineStr"/>
      <c r="D155" s="44" t="inlineStr">
        <is>
          <t>Actian Humana New map PMDM configuration</t>
        </is>
      </c>
      <c r="E155" s="44" t="inlineStr">
        <is>
          <t>Create new pipeline, mapping/validation template creation and all the required configurations. Test for a file provided in dev and migrate to production.</t>
        </is>
      </c>
      <c r="F155" s="44" t="inlineStr">
        <is>
          <t>Hi team, we have issue with DDL for the below fileds. informed csm and they are working with client to update the ddl/raw file. prov_ntwk_Historical_for_last_4months.zip file Issue: varchar(text) in raw file, decimal(number) in data dictionary Field: PROV_NTWK_KEY *prov_pymt_ctrct_dly_Historical_18Months_eff_date_futuredt.zip file:* Issue: varchar(text) in raw file, decimal(number) in data dictionary: Field: PYMT_CTRCT_KEY PROV_PMDM_ID SRC_PROVIDER_ID WITHHOLD_PCT COMML_PCT COMML_DEFLT_PCT MEDCR_PCT MEDCR_DEFLT_PCT MTV_GRP_PROV_KEY MTV_ORG_PROV_KEY PROV_NTWK_KEY Issue: Decimal(number) in raw file, varchar(text) in data dictionary: Field: PYMT_CTRCT_ID Waiting for user information on updated DDL. Client is still working on providing the data dictionaries. There is an issue while removing the header, facing issue while loading the data and validations errors with header record. Working on it.</t>
        </is>
      </c>
      <c r="G155" s="44" t="inlineStr"/>
      <c r="H155" s="107" t="inlineStr">
        <is>
          <t>Other</t>
        </is>
      </c>
      <c r="I155" s="107" t="inlineStr">
        <is>
          <t>Other</t>
        </is>
      </c>
      <c r="J155" s="107" t="inlineStr"/>
      <c r="K155" s="107" t="inlineStr">
        <is>
          <t>In Progress</t>
        </is>
      </c>
      <c r="L155" s="107" t="inlineStr">
        <is>
          <t>2026-05-07</t>
        </is>
      </c>
      <c r="M155" s="107" t="inlineStr">
        <is>
          <t>2026-05-25</t>
        </is>
      </c>
      <c r="N155" s="107" t="inlineStr">
        <is>
          <t>Nile Production Support</t>
        </is>
      </c>
      <c r="O155" s="107" t="inlineStr">
        <is>
          <t>Unassigned</t>
        </is>
      </c>
      <c r="P155" s="107" t="inlineStr">
        <is>
          <t>Kamsetty, Sravani</t>
        </is>
      </c>
      <c r="Q155" s="107" t="inlineStr">
        <is>
          <t>Unresolved</t>
        </is>
      </c>
      <c r="R155" s="44" t="inlineStr">
        <is>
          <t>Hi team, we have issue with DDL for the below fileds. informed csm and they are working with client to update the ddl/raw file. prov_ntwk_Historical_for_last_4months.zip file Issue: varchar(text) in raw file, decimal(number) in data dictionary Field: PROV_NTWK_KEY *prov_pymt_ctrct_dly_Historical_18Months_eff_date_futuredt.zip file:* Issue: varchar(text) in raw file, decimal(number) in data dictionary: Field: PYMT_CTRCT_KEY PROV_PMDM_ID SRC_PROVIDER_ID WITHHOLD_PCT COMML_PCT COMML_DEFLT_PCT MEDCR_PCT MEDCR_DEFLT_PCT MTV_GRP_PROV_KEY MTV_ORG_PROV_KEY PROV_NTWK_KEY Issue: Decimal(number) in raw file, varchar(text) in data dictionary: Field: PYMT_CTRCT_ID Waiting for user information on updated DDL. Client is still working on providing the data dictionaries. There is an issue while removing the header, facing issue while loading the data and validations errors with header record. Working on it.</t>
        </is>
      </c>
      <c r="S155" s="107" t="inlineStr"/>
      <c r="T155" s="107" t="inlineStr"/>
      <c r="U155" s="107" t="inlineStr"/>
      <c r="V155" s="123" t="inlineStr">
        <is>
          <t>Configuration Issue</t>
        </is>
      </c>
      <c r="W155" s="107" t="inlineStr"/>
    </row>
    <row r="156">
      <c r="A156" s="109" t="inlineStr">
        <is>
          <t>IT-3041076</t>
        </is>
      </c>
      <c r="B156" s="109" t="inlineStr">
        <is>
          <t>IT-3041076</t>
        </is>
      </c>
      <c r="C156" s="109" t="inlineStr"/>
      <c r="D156" s="47" t="inlineStr">
        <is>
          <t>CalOptima OLA Configuration Update</t>
        </is>
      </c>
      <c r="E156" s="47" t="inlineStr">
        <is>
          <t>Update OLA Configuration setup in ProdOps to avoid unnecessary pipeline status in monitoring tab.</t>
        </is>
      </c>
      <c r="F156" s="47" t="inlineStr">
        <is>
          <t>OLA configuration is updated, Need to monitor for couple of runs.</t>
        </is>
      </c>
      <c r="G156" s="47" t="inlineStr"/>
      <c r="H156" s="109" t="inlineStr">
        <is>
          <t>Other</t>
        </is>
      </c>
      <c r="I156" s="109" t="inlineStr">
        <is>
          <t>Other</t>
        </is>
      </c>
      <c r="J156" s="109" t="inlineStr"/>
      <c r="K156" s="109" t="inlineStr">
        <is>
          <t>On Hold</t>
        </is>
      </c>
      <c r="L156" s="109" t="inlineStr">
        <is>
          <t>2026-05-07</t>
        </is>
      </c>
      <c r="M156" s="109" t="inlineStr">
        <is>
          <t>2026-05-18</t>
        </is>
      </c>
      <c r="N156" s="109" t="inlineStr">
        <is>
          <t>Nile Production Support</t>
        </is>
      </c>
      <c r="O156" s="109" t="inlineStr">
        <is>
          <t>Unassigned</t>
        </is>
      </c>
      <c r="P156" s="109" t="inlineStr">
        <is>
          <t>Kamsetty, Sravani</t>
        </is>
      </c>
      <c r="Q156" s="109" t="inlineStr">
        <is>
          <t>Unresolved</t>
        </is>
      </c>
      <c r="R156" s="47" t="inlineStr">
        <is>
          <t>OLA configuration is updated, Need to monitor for couple of runs.</t>
        </is>
      </c>
      <c r="S156" s="109" t="inlineStr"/>
      <c r="T156" s="109" t="inlineStr"/>
      <c r="U156" s="109" t="inlineStr"/>
      <c r="V156" s="118" t="inlineStr">
        <is>
          <t>Configuration Issue</t>
        </is>
      </c>
      <c r="W156" s="109" t="inlineStr"/>
    </row>
    <row r="157">
      <c r="A157" s="107" t="inlineStr">
        <is>
          <t>IT-3041072</t>
        </is>
      </c>
      <c r="B157" s="107" t="inlineStr">
        <is>
          <t>IT-3041072</t>
        </is>
      </c>
      <c r="C157" s="107" t="inlineStr"/>
      <c r="D157" s="44" t="inlineStr">
        <is>
          <t>BCBSNC Facets OLA Configuration Update</t>
        </is>
      </c>
      <c r="E157" s="44" t="inlineStr">
        <is>
          <t>Update OLA Configuration setup in ProdOps to avoid unnecessary pipeline status in monitoring tab.</t>
        </is>
      </c>
      <c r="F157" s="44" t="inlineStr">
        <is>
          <t>Updated OLA Configuration setup in ProdOps for tba and history files and is need to monitor for couple of runs. OLA configuration is updated, Need to monitor for couple of runs.</t>
        </is>
      </c>
      <c r="G157" s="44" t="inlineStr"/>
      <c r="H157" s="107" t="inlineStr">
        <is>
          <t>Other</t>
        </is>
      </c>
      <c r="I157" s="107" t="inlineStr">
        <is>
          <t>Other</t>
        </is>
      </c>
      <c r="J157" s="107" t="inlineStr"/>
      <c r="K157" s="107" t="inlineStr">
        <is>
          <t>On Hold</t>
        </is>
      </c>
      <c r="L157" s="107" t="inlineStr">
        <is>
          <t>2026-05-07</t>
        </is>
      </c>
      <c r="M157" s="107" t="inlineStr">
        <is>
          <t>2026-05-18</t>
        </is>
      </c>
      <c r="N157" s="107" t="inlineStr">
        <is>
          <t>Nile Production Support</t>
        </is>
      </c>
      <c r="O157" s="107" t="inlineStr">
        <is>
          <t>Unassigned</t>
        </is>
      </c>
      <c r="P157" s="107" t="inlineStr">
        <is>
          <t>Kamsetty, Sravani</t>
        </is>
      </c>
      <c r="Q157" s="107" t="inlineStr">
        <is>
          <t>Unresolved</t>
        </is>
      </c>
      <c r="R157" s="44" t="inlineStr">
        <is>
          <t>Updated OLA Configuration setup in ProdOps for tba and history files and is need to monitor for couple of runs. OLA configuration is updated, Need to monitor for couple of runs.</t>
        </is>
      </c>
      <c r="S157" s="107" t="inlineStr"/>
      <c r="T157" s="107" t="inlineStr"/>
      <c r="U157" s="107" t="inlineStr"/>
      <c r="V157" s="123" t="inlineStr">
        <is>
          <t>Configuration Issue</t>
        </is>
      </c>
      <c r="W157" s="107" t="inlineStr"/>
    </row>
    <row r="158">
      <c r="A158" s="109" t="inlineStr">
        <is>
          <t>IT-3041068</t>
        </is>
      </c>
      <c r="B158" s="109" t="inlineStr">
        <is>
          <t>IT-3041068</t>
        </is>
      </c>
      <c r="C158" s="109" t="inlineStr"/>
      <c r="D158" s="47" t="inlineStr">
        <is>
          <t>Oscar OLA Configuration Update</t>
        </is>
      </c>
      <c r="E158" s="47" t="inlineStr">
        <is>
          <t>Update OLA Configuration setup in ProdOps to avoid unnecessary pipeline status in monitoring tab.</t>
        </is>
      </c>
      <c r="F158" s="47" t="inlineStr">
        <is>
          <t>Updated OLA Configuration setup in ProdOps for tba and history files and is working as expected.</t>
        </is>
      </c>
      <c r="G158" s="47" t="inlineStr">
        <is>
          <t>Updated OLA Configuration setup in ProdOps for tba and history files and is working as expected.</t>
        </is>
      </c>
      <c r="H158" s="109" t="inlineStr">
        <is>
          <t>Other</t>
        </is>
      </c>
      <c r="I158" s="109" t="inlineStr">
        <is>
          <t>Other</t>
        </is>
      </c>
      <c r="J158" s="109" t="inlineStr"/>
      <c r="K158" s="109" t="inlineStr">
        <is>
          <t>Closed</t>
        </is>
      </c>
      <c r="L158" s="109" t="inlineStr">
        <is>
          <t>2026-05-07</t>
        </is>
      </c>
      <c r="M158" s="109" t="inlineStr">
        <is>
          <t>2026-05-12</t>
        </is>
      </c>
      <c r="N158" s="109" t="inlineStr">
        <is>
          <t>Nile Production Support</t>
        </is>
      </c>
      <c r="O158" s="109" t="inlineStr">
        <is>
          <t>Unassigned</t>
        </is>
      </c>
      <c r="P158" s="109" t="inlineStr">
        <is>
          <t>Kamsetty, Sravani</t>
        </is>
      </c>
      <c r="Q158" s="109" t="inlineStr">
        <is>
          <t>Resolved</t>
        </is>
      </c>
      <c r="R158" s="47" t="inlineStr">
        <is>
          <t>Updated OLA Configuration setup in ProdOps for tba and history files and is working as expected.</t>
        </is>
      </c>
      <c r="S158" s="109" t="inlineStr"/>
      <c r="T158" s="109" t="inlineStr"/>
      <c r="U158" s="109" t="inlineStr"/>
      <c r="V158" s="118" t="inlineStr">
        <is>
          <t>Configuration Issue</t>
        </is>
      </c>
      <c r="W158" s="109" t="inlineStr"/>
    </row>
    <row r="159">
      <c r="A159" s="107" t="inlineStr">
        <is>
          <t>IT-3040996</t>
        </is>
      </c>
      <c r="B159" s="107" t="inlineStr">
        <is>
          <t>IT-3040996</t>
        </is>
      </c>
      <c r="C159" s="107" t="inlineStr"/>
      <c r="D159" s="44" t="inlineStr">
        <is>
          <t>UHC Cirrus Weekly file decryption</t>
        </is>
      </c>
      <c r="E159" s="44" t="inlineStr">
        <is>
          <t>Hello Nile team For UHC Cirrus weekly process, EDM is decrypting the files and then copy over for nile to load, the reason is because when we had the action migration to Nile, Nile was not able to decryt the file(I am not sure what was the reason behind it). It has been a long time since we migrate to Nile, would you please check if Nile is able to decryt the files now? So we can plan to stop the EDM file preprocessing and let Nile handle file copying/decrypting/etc. Thanks and please let me know if more info is needed.</t>
        </is>
      </c>
      <c r="F159" s="44" t="inlineStr">
        <is>
          <t>This will need csm/client engagement to change their signature. Checking with Vasu our alternatives on the Nile side.</t>
        </is>
      </c>
      <c r="G159" s="44" t="inlineStr"/>
      <c r="H159" s="107" t="inlineStr">
        <is>
          <t>Other</t>
        </is>
      </c>
      <c r="I159" s="107" t="inlineStr">
        <is>
          <t>Other</t>
        </is>
      </c>
      <c r="J159" s="107" t="inlineStr"/>
      <c r="K159" s="107" t="inlineStr">
        <is>
          <t>On Hold</t>
        </is>
      </c>
      <c r="L159" s="107" t="inlineStr">
        <is>
          <t>2026-05-07</t>
        </is>
      </c>
      <c r="M159" s="107" t="inlineStr">
        <is>
          <t>2026-05-13</t>
        </is>
      </c>
      <c r="N159" s="107" t="inlineStr">
        <is>
          <t>Nile Production Support</t>
        </is>
      </c>
      <c r="O159" s="107" t="inlineStr">
        <is>
          <t>Unassigned</t>
        </is>
      </c>
      <c r="P159" s="107" t="inlineStr">
        <is>
          <t>Tang, Chao</t>
        </is>
      </c>
      <c r="Q159" s="107" t="inlineStr">
        <is>
          <t>Unresolved</t>
        </is>
      </c>
      <c r="R159" s="44" t="inlineStr">
        <is>
          <t>This will need csm/client engagement to change their signature. Checking with Vasu our alternatives on the Nile side.</t>
        </is>
      </c>
      <c r="S159" s="107" t="inlineStr"/>
      <c r="T159" s="107" t="inlineStr"/>
      <c r="U159" s="107" t="inlineStr"/>
      <c r="V159" s="113" t="inlineStr">
        <is>
          <t>Other</t>
        </is>
      </c>
      <c r="W159" s="107" t="inlineStr">
        <is>
          <t>Yes</t>
        </is>
      </c>
    </row>
    <row r="160">
      <c r="A160" s="109" t="inlineStr">
        <is>
          <t>IT-3040628</t>
        </is>
      </c>
      <c r="B160" s="109" t="inlineStr">
        <is>
          <t>IT-3040628</t>
        </is>
      </c>
      <c r="C160" s="109" t="inlineStr"/>
      <c r="D160" s="47" t="inlineStr">
        <is>
          <t>dm-geisinger-facets-weekly_SIU_notouch_file Schema change</t>
        </is>
      </c>
      <c r="E160" s="47" t="inlineStr">
        <is>
          <t>dm-geisinger-facets-weekly_SIU_notouch_file has been generating zero parquet output from 2025-07-21 to date . Upon investigation, all records are being rejected due to a delimiter mismatch , as the dataset is using a pipe (|) delimiter instead of a comma (,). Additionally, there are no validation checks in place within the pipeline to detect or handle such discrepancies. Could you please review? Pipeline details Pipeline : dm-geisinger-facets-weekly_SIU_notouch_file Pipeline ID : 2024-09-04-92280401 Version : V1.2 Env : Prod</t>
        </is>
      </c>
      <c r="F160" s="47" t="inlineStr">
        <is>
          <t>waiting for approval from joy</t>
        </is>
      </c>
      <c r="G160" s="47" t="inlineStr"/>
      <c r="H160" s="109" t="inlineStr">
        <is>
          <t>Other</t>
        </is>
      </c>
      <c r="I160" s="109" t="inlineStr">
        <is>
          <t>Other</t>
        </is>
      </c>
      <c r="J160" s="109" t="inlineStr"/>
      <c r="K160" s="109" t="inlineStr">
        <is>
          <t>On Hold</t>
        </is>
      </c>
      <c r="L160" s="109" t="inlineStr">
        <is>
          <t>2026-05-07</t>
        </is>
      </c>
      <c r="M160" s="109" t="inlineStr">
        <is>
          <t>2026-05-12</t>
        </is>
      </c>
      <c r="N160" s="109" t="inlineStr">
        <is>
          <t>Nile Production Support</t>
        </is>
      </c>
      <c r="O160" s="109" t="inlineStr">
        <is>
          <t>Unassigned</t>
        </is>
      </c>
      <c r="P160" s="109" t="inlineStr">
        <is>
          <t>Enders, Stephen</t>
        </is>
      </c>
      <c r="Q160" s="109" t="inlineStr">
        <is>
          <t>Unresolved</t>
        </is>
      </c>
      <c r="R160" s="47" t="inlineStr">
        <is>
          <t>waiting for approval from joy</t>
        </is>
      </c>
      <c r="S160" s="109" t="inlineStr"/>
      <c r="T160" s="109" t="inlineStr"/>
      <c r="U160" s="109" t="inlineStr"/>
      <c r="V160" s="116" t="inlineStr">
        <is>
          <t>Schema issue</t>
        </is>
      </c>
      <c r="W160" s="109" t="inlineStr"/>
    </row>
    <row r="161">
      <c r="A161" s="107" t="inlineStr">
        <is>
          <t>IT-3040423</t>
        </is>
      </c>
      <c r="B161" s="107" t="inlineStr">
        <is>
          <t>IT-3040423</t>
        </is>
      </c>
      <c r="C161" s="107" t="inlineStr"/>
      <c r="D161" s="44" t="inlineStr">
        <is>
          <t>Aetna Trad Issue for 05/02</t>
        </is>
      </c>
      <c r="E161" s="44" t="inlineStr">
        <is>
          <t>Aetna Trad Issue</t>
        </is>
      </c>
      <c r="F161" s="44" t="inlineStr">
        <is>
          <t>I verified the spoolers and found that we received 0 KB files. So, I requested the L1 team to raise a ticket for the replacement file. I verified the spoolers and found that we received 0 KB files. So, I requested the L1 team to raise a ticket for the replacement file.</t>
        </is>
      </c>
      <c r="G161" s="44" t="inlineStr">
        <is>
          <t>I verified the spoolers and found that we received 0 KB files. So, I requested the L1 team to raise a ticket for the replacement file.</t>
        </is>
      </c>
      <c r="H161" s="107" t="inlineStr">
        <is>
          <t>Other</t>
        </is>
      </c>
      <c r="I161" s="107" t="inlineStr">
        <is>
          <t>Other</t>
        </is>
      </c>
      <c r="J161" s="107" t="inlineStr"/>
      <c r="K161" s="107" t="inlineStr">
        <is>
          <t>Closed</t>
        </is>
      </c>
      <c r="L161" s="107" t="inlineStr">
        <is>
          <t>2026-05-06</t>
        </is>
      </c>
      <c r="M161" s="107" t="inlineStr">
        <is>
          <t>2026-05-07</t>
        </is>
      </c>
      <c r="N161" s="107" t="inlineStr">
        <is>
          <t>Nile Production Support</t>
        </is>
      </c>
      <c r="O161" s="107" t="inlineStr">
        <is>
          <t>Unassigned</t>
        </is>
      </c>
      <c r="P161" s="107" t="inlineStr">
        <is>
          <t>Aryal, Neerajan</t>
        </is>
      </c>
      <c r="Q161" s="107" t="inlineStr">
        <is>
          <t>Resolved</t>
        </is>
      </c>
      <c r="R161" s="44" t="inlineStr">
        <is>
          <t>I verified the spoolers and found that we received 0 KB files. So, I requested the L1 team to raise a ticket for the replacement file. I verified the spoolers and found that we received 0 KB files. So, I requested the L1 team to raise a ticket for the replacement file.</t>
        </is>
      </c>
      <c r="S161" s="107" t="inlineStr"/>
      <c r="T161" s="107" t="inlineStr"/>
      <c r="U161" s="107" t="inlineStr"/>
      <c r="V161" s="115" t="inlineStr">
        <is>
          <t>Spooler issue</t>
        </is>
      </c>
      <c r="W161" s="107" t="inlineStr"/>
    </row>
    <row r="162">
      <c r="A162" s="109" t="inlineStr">
        <is>
          <t>IT-3039990</t>
        </is>
      </c>
      <c r="B162" s="109" t="inlineStr">
        <is>
          <t>IT-3039990</t>
        </is>
      </c>
      <c r="C162" s="109" t="inlineStr"/>
      <c r="D162" s="47" t="inlineStr">
        <is>
          <t>Please add a new column in 2 Healthspring pipelines.</t>
        </is>
      </c>
      <c r="E162" s="47" t="inlineStr">
        <is>
          <t>Please add a new column in 2 Healthspring pipelines: 1) dm-healthspring-healthspring-actian_migration_Professional_Claims Add a column called ClaimInNetworkIndicator as varchar(1) at the end. Target Table: HealthspringDataRaw.dbo.ProfessionalClaims_Load_NEW 2) dm-healthspring-healthspring-actian_migration_facility_header Add a column called ClaimInNetworkIndicator as varchar(1) at the end. Target Table: HealthspringDataRaw.dbo.FacilityClaimsHeader_Load_NEW The target tables are ready to accept the new field.</t>
        </is>
      </c>
      <c r="F162" s="47" t="inlineStr">
        <is>
          <t>Hi Castro, Ronald updated schema and respective UDCs both pipelines are completed please verify Thanks Satish Devatha</t>
        </is>
      </c>
      <c r="G162" s="47" t="inlineStr">
        <is>
          <t>updated schemas and updated UDC pipelines are completed</t>
        </is>
      </c>
      <c r="H162" s="109" t="inlineStr">
        <is>
          <t>Other</t>
        </is>
      </c>
      <c r="I162" s="109" t="inlineStr">
        <is>
          <t>Other</t>
        </is>
      </c>
      <c r="J162" s="109" t="inlineStr"/>
      <c r="K162" s="109" t="inlineStr">
        <is>
          <t>Closed</t>
        </is>
      </c>
      <c r="L162" s="109" t="inlineStr">
        <is>
          <t>2026-05-06</t>
        </is>
      </c>
      <c r="M162" s="109" t="inlineStr">
        <is>
          <t>2026-05-06</t>
        </is>
      </c>
      <c r="N162" s="109" t="inlineStr">
        <is>
          <t>Nile Production Support</t>
        </is>
      </c>
      <c r="O162" s="109" t="inlineStr">
        <is>
          <t>Unassigned</t>
        </is>
      </c>
      <c r="P162" s="109" t="inlineStr">
        <is>
          <t>Castro, Ronald</t>
        </is>
      </c>
      <c r="Q162" s="109" t="inlineStr">
        <is>
          <t>Resolved</t>
        </is>
      </c>
      <c r="R162" s="47" t="inlineStr">
        <is>
          <t>Hi Castro, Ronald updated schema and respective UDCs both pipelines are completed please verify Thanks Satish Devatha</t>
        </is>
      </c>
      <c r="S162" s="109" t="inlineStr"/>
      <c r="T162" s="109" t="inlineStr"/>
      <c r="U162" s="109" t="inlineStr"/>
      <c r="V162" s="116" t="inlineStr">
        <is>
          <t>Schema issue</t>
        </is>
      </c>
      <c r="W162" s="109" t="inlineStr"/>
    </row>
    <row r="163">
      <c r="A163" s="107" t="inlineStr">
        <is>
          <t>IT-3039658</t>
        </is>
      </c>
      <c r="B163" s="107" t="inlineStr">
        <is>
          <t>IT-3039658</t>
        </is>
      </c>
      <c r="C163" s="107" t="inlineStr"/>
      <c r="D163" s="44" t="inlineStr">
        <is>
          <t>Humana-Missing No Touch Fields</t>
        </is>
      </c>
      <c r="E163" s="44" t="inlineStr">
        <is>
          <t>The Humana team is experiencing missing information in the following “No Touch” fields: ReferralSourceCd, NoTouchReason, CategoryCd, SetupDate, NoTouchAmt, and NoTouchFlag. In a few claims that have previous overpayments written in the client’s system (CAS), the fields populate, but the majority are blank. The team first started seeing a change last week, around April 28th or 29th where the fields were not displaying properly. The attached snip from CHQT shows a few claim numbers that all have overpayments written in the client system, but most of the “No Touch” fields are blank.</t>
        </is>
      </c>
      <c r="F163" s="44" t="inlineStr">
        <is>
          <t>Found HumanaDataArkStaging database on Stage server contained CnlyClaimsNoTouch table containing almost 260 million records. However, I am unable to locate any of the claims show in the screenshot, though Kristi states there should be a NoTouch flag for them since they have claims written against them. The are LoadID's for almost every day of the weekday (not weekends) and contain between 20,000 and 60,000 records every day. I have located a MERGE and DATAMERGE procedures, but nothing which appears to create the new records. Checked RAW and SPLIT folders as well as FTP \ B2B \ Humana with 6 folders under that path. Folder Humana Daily Reports and Inbound were likely candidates, but no recent files in any folder. Located several year-old files at \\ccaintranet.com\dfs-fld-01\Audits\Humana\Data Standardization\HumanaNoTouchData Likely moved to NILE for ingestion. Issue is that user states client informs that recovery claims have been written on the claims shown in the screenshot. However only two of the claims are showing a NoTouch flag condition. No entries found in HumanaDataArkStaging.dbo.CnlyClaimsNoTouch, though the dates appear continuous. Weekdays appear to be active, weekends are not active. Need NILE assistance to determine if records have been ingested and present to auditors. Counts for weekday NoTouch files. HumanaNoTouchCount.xlsx</t>
        </is>
      </c>
      <c r="G163" s="44" t="inlineStr"/>
      <c r="H163" s="107" t="inlineStr"/>
      <c r="I163" s="107" t="inlineStr"/>
      <c r="J163" s="107" t="inlineStr"/>
      <c r="K163" s="107" t="inlineStr">
        <is>
          <t>Active</t>
        </is>
      </c>
      <c r="L163" s="107" t="inlineStr">
        <is>
          <t>2026-05-06</t>
        </is>
      </c>
      <c r="M163" s="107" t="inlineStr">
        <is>
          <t>2026-05-11</t>
        </is>
      </c>
      <c r="N163" s="107" t="inlineStr">
        <is>
          <t>Nile Production Support</t>
        </is>
      </c>
      <c r="O163" s="107" t="inlineStr">
        <is>
          <t>Unassigned</t>
        </is>
      </c>
      <c r="P163" s="107" t="inlineStr">
        <is>
          <t>Bianchi, Kristi</t>
        </is>
      </c>
      <c r="Q163" s="107" t="inlineStr">
        <is>
          <t>Unresolved</t>
        </is>
      </c>
      <c r="R163" s="44" t="inlineStr">
        <is>
          <t>Found HumanaDataArkStaging database on Stage server contained CnlyClaimsNoTouch table containing almost 260 million records. However, I am unable to locate any of the claims show in the screenshot, though Kristi states there should be a NoTouch flag for them since they have claims written against them. The are LoadID's for almost every day of the weekday (not weekends) and contain between 20,000 and 60,000 records every day. I have located a MERGE and DATAMERGE procedures, but nothing which appears to create the new records. Checked RAW and SPLIT folders as well as FTP \ B2B \ Humana with 6 folders under that path. Folder Humana Daily Reports and Inbound were likely candidates, but no recent files in any folder. Located several year-old files at \\ccaintranet.com\dfs-fld-01\Audits\Humana\Data Standardization\HumanaNoTouchData Likely moved to NILE for ingestion. Issue is that user states client informs that recovery claims have been written on the claims shown in the screenshot. However only two of the claims are showing a NoTouch flag condition. No entries found in HumanaDataArkStaging.dbo.CnlyClaimsNoTouch, though the dates appear continuous. Weekdays appear to be active, weekends are not active. Need NILE assistance to determine if records have been ingested and present to auditors. Counts for weekday NoTouch files. HumanaNoTouchCount.xlsx</t>
        </is>
      </c>
      <c r="S163" s="107" t="inlineStr"/>
      <c r="T163" s="107" t="inlineStr"/>
      <c r="U163" s="107" t="inlineStr"/>
      <c r="V163" s="115" t="inlineStr">
        <is>
          <t>Spooler issue</t>
        </is>
      </c>
      <c r="W163" s="107" t="inlineStr"/>
    </row>
    <row r="164">
      <c r="A164" s="109" t="inlineStr">
        <is>
          <t>IT-3039618</t>
        </is>
      </c>
      <c r="B164" s="109" t="inlineStr">
        <is>
          <t>IT-3039618</t>
        </is>
      </c>
      <c r="C164" s="109" t="inlineStr"/>
      <c r="D164" s="47" t="inlineStr">
        <is>
          <t>Atena HRP &amp; Aetna Trad: Move missing file from the 042526 ZIP file into the correct 041726 ZIP file location for both</t>
        </is>
      </c>
      <c r="E164" s="47" t="inlineStr">
        <is>
          <t>Background : Both Aetna-HRP, and Aetna-Traditional use the same file. The file below was missing from the following ZIP file: 20260417_1000_1000_COBReport_375_P_I_1_T __ Missing From: COB Smart Cotiviti 041726.zip. The client has since re-sent the missing file in: COB Smart Cotiviti 042526.zip We now need to move the missing file from the 042526 ZIP file into the correct 041726 ZIP file location for both Aetna-HRP Aetna-Traditional ------------------------- ** Aetna-HRP Please move the file below from 042526.zip file to the 041726-zip file location. Source Path : /dataingestionprod/raw/restricted/3-aetna-hrp/20260425 Zip File : COB Smart Cotiviti 042526.zip File to Move: 20260417_1000_1000_COBReport_375_P_I_1_T Destination Path: /dataingestionprod/raw/restricted/3-aetna-hrp/20260417 COB Smart Cotiviti 041726.zip ** Aetna-Traditional Please perform the same file move for the Aetna-traditional folder. Source Path: /dataingestionprod/raw/unrestricted/5-aetna-traditional/20260425 Zip File : COB Smart Cotiviti 042526.zip File to Move: 20260417_1000_1000_COBReport_375_P_I_1_T Destination Path : /dataingestionprod/raw/restricted/3-aetna-traditional/20260417 Zip File : COB Smart Cotiviti 041726.zip Thank you</t>
        </is>
      </c>
      <c r="F164" s="47" t="inlineStr">
        <is>
          <t>Hi Enid Ike pipeline ran and got a metric drop issue sent email to Teena.</t>
        </is>
      </c>
      <c r="G164" s="47" t="inlineStr">
        <is>
          <t>Files copied to respective folder</t>
        </is>
      </c>
      <c r="H164" s="109" t="inlineStr">
        <is>
          <t>Other</t>
        </is>
      </c>
      <c r="I164" s="109" t="inlineStr">
        <is>
          <t>Other</t>
        </is>
      </c>
      <c r="J164" s="109" t="inlineStr"/>
      <c r="K164" s="109" t="inlineStr">
        <is>
          <t>Closed</t>
        </is>
      </c>
      <c r="L164" s="109" t="inlineStr">
        <is>
          <t>2026-05-06</t>
        </is>
      </c>
      <c r="M164" s="109" t="inlineStr">
        <is>
          <t>2026-05-07</t>
        </is>
      </c>
      <c r="N164" s="109" t="inlineStr">
        <is>
          <t>Nile Production Support</t>
        </is>
      </c>
      <c r="O164" s="109" t="inlineStr">
        <is>
          <t>Unassigned</t>
        </is>
      </c>
      <c r="P164" s="109" t="inlineStr">
        <is>
          <t>Enid Ike</t>
        </is>
      </c>
      <c r="Q164" s="109" t="inlineStr">
        <is>
          <t>Resolved</t>
        </is>
      </c>
      <c r="R164" s="47" t="inlineStr">
        <is>
          <t>Hi Enid Ike pipeline ran and got a metric drop issue sent email to Teena.</t>
        </is>
      </c>
      <c r="S164" s="109" t="inlineStr"/>
      <c r="T164" s="109" t="inlineStr"/>
      <c r="U164" s="109" t="inlineStr"/>
      <c r="V164" s="110" t="inlineStr">
        <is>
          <t>Other</t>
        </is>
      </c>
      <c r="W164" s="109" t="inlineStr">
        <is>
          <t>Yes</t>
        </is>
      </c>
    </row>
    <row r="165">
      <c r="A165" s="107" t="inlineStr">
        <is>
          <t>IT-3039329</t>
        </is>
      </c>
      <c r="B165" s="107" t="inlineStr">
        <is>
          <t>IT-3039329</t>
        </is>
      </c>
      <c r="C165" s="107" t="inlineStr"/>
      <c r="D165" s="44" t="inlineStr">
        <is>
          <t>chcmd_daily_incoming_1.05-06-2026_0800 QA Status : FAILED : FAILED - 99 Unexpected Error</t>
        </is>
      </c>
      <c r="E165" s="44" t="inlineStr">
        <is>
          <t>Database : CSPRD3 Run Time : 05-06-2026_0802 Files Processed - File Name (No. Lines in File): ---------------------------------------------------------------------------------------------------- chcmd_daily_incoming_1 (26300) Total Lines Processed for Run : 26300 File Processing Information: ---------------------------------------------------------------------------------------------------- File : chcmd_daily_incoming_1.05-06-2026_0800 QA Status : FAILED Reason : FAILED - 99 Unexpected Error The QA Log: QA Test Name: dos2unix_check Pre/Post Run: 0 Result: PASSED QA Test Name: zero_length Pre/Post Run: 0 Result: PASSED QA Test Name: is_headtrail_hdr Pre/Post Run: 0 Result: PASSED QA Test Name: is_headtrail_tlr Pre/Post Run: 0 Result: PASSED QA Test Name: is_headtrail_multi Pre/Post Run: 0 Result: PASSED QA Test Name: header_payer Pre/Post Run: 0 Result: PASSED QA Test Name: nametype_match Pre/Post Run: 0 Result: PASSED QA Test Name: linetrail_match Pre/Post Run: 0 Result: PASSED QA Test Name: already_run Pre/Post Run: 0 Result: PASSED QA Test Name: java_check Pre/Post Run: 0 Result: FAILED - 99 Unexpected Error The Run Results Log: PayerShort: CHCMD ClaimId: 25337E04823A1 Error: Primary key/unique constraint violation PayerShort: CHCMD ClaimId: 25343E06486A1 Error: Primary key/unique constraint violation PayerShort: CHCMD ClaimId: 25343E06488A1 Error: Primary key/unique constraint violation PayerShort: CHCMD MClaimId: 25343E06516A1 Error: Primary key/unique constraint violation PayerShort: CHCMD ClaimId: 25343E06524A1 Error: Primary key/unique constraint violation PayerShort: CHCMD ClaimId: 26058E03808A1 Error: Primary key/unique constraint violation PayerShort: CHCMD ClaimId: 26058E03888A1 Error: Primary key/unique constraint violation PayerShort: CHCMD ClaimId: 26058E04648A1 Error: Primary key/unique constraint violation PayerShort: CHCMD ClaimId: 26058E04667A1 Error: Primary key/unique constraint violation PayerShort: CHCMD ClaimId: 26077E02174A1 Error: Primary key/unique constraint violation PayerShort: CHCMD ClaimId: 26110E07962A1 Error: Primary key/unique constraint violation File Processing Errors Occurred Error Code: 99 Error Text: java.lang.NullPointerException: Cannot invoke "com.ihealth.icm.parser.domain.Claim.getField(String)" because "claim" is null</t>
        </is>
      </c>
      <c r="F165" s="44" t="inlineStr">
        <is>
          <t>We are waiting on an analysis from EDI team</t>
        </is>
      </c>
      <c r="G165" s="44" t="inlineStr">
        <is>
          <t>Closing this ticket as it is not a Nile issue and the EDI team is investigating. There is no action for Nile</t>
        </is>
      </c>
      <c r="H165" s="107" t="inlineStr"/>
      <c r="I165" s="107" t="inlineStr"/>
      <c r="J165" s="107" t="inlineStr"/>
      <c r="K165" s="107" t="inlineStr">
        <is>
          <t>Closed</t>
        </is>
      </c>
      <c r="L165" s="107" t="inlineStr">
        <is>
          <t>2026-05-06</t>
        </is>
      </c>
      <c r="M165" s="107" t="inlineStr">
        <is>
          <t>2026-05-13</t>
        </is>
      </c>
      <c r="N165" s="107" t="inlineStr">
        <is>
          <t>Nile Production Support</t>
        </is>
      </c>
      <c r="O165" s="107" t="inlineStr">
        <is>
          <t>Unassigned</t>
        </is>
      </c>
      <c r="P165" s="107" t="inlineStr">
        <is>
          <t>Bohannon, Stevin</t>
        </is>
      </c>
      <c r="Q165" s="107" t="inlineStr">
        <is>
          <t>Closed</t>
        </is>
      </c>
      <c r="R165" s="44" t="inlineStr">
        <is>
          <t>We are waiting on an analysis from EDI team</t>
        </is>
      </c>
      <c r="S165" s="107" t="inlineStr"/>
      <c r="T165" s="107" t="inlineStr"/>
      <c r="U165" s="107" t="inlineStr"/>
      <c r="V165" s="113" t="inlineStr">
        <is>
          <t>Other</t>
        </is>
      </c>
      <c r="W165" s="107" t="inlineStr">
        <is>
          <t>Yes</t>
        </is>
      </c>
    </row>
    <row r="166">
      <c r="A166" s="109" t="inlineStr">
        <is>
          <t>IT-3039203</t>
        </is>
      </c>
      <c r="B166" s="109" t="inlineStr">
        <is>
          <t>IT-3039203</t>
        </is>
      </c>
      <c r="C166" s="109" t="inlineStr"/>
      <c r="D166" s="47" t="inlineStr">
        <is>
          <t>Please re-ingest Independence NoTouch files from the listed transmissions.</t>
        </is>
      </c>
      <c r="E166" s="47" t="inlineStr">
        <is>
          <t>Please re-ingest Independence NoTouch files from the listed transmissions, but please coordinate with me so we can load the files one at a time: Pipeline - dm-independence-ibc-actian_migration_notouch_BMC FileNames - con_clm_return_file_20260414.txt con_clm_return_file_20260421.txt con_clm_return_file_20260428.txt con_clm_return_file_20260504.txt Target Table - IndependenceCnlySupport.dbo.NoTouch</t>
        </is>
      </c>
      <c r="F166" s="47" t="inlineStr">
        <is>
          <t>Loaded two files and Castro, Ronald requested to pause the ticket due to issues on EDM side</t>
        </is>
      </c>
      <c r="G166" s="47" t="inlineStr">
        <is>
          <t>Reporter confirmed we can close this ticket</t>
        </is>
      </c>
      <c r="H166" s="109" t="inlineStr">
        <is>
          <t>Other</t>
        </is>
      </c>
      <c r="I166" s="109" t="inlineStr">
        <is>
          <t>Other</t>
        </is>
      </c>
      <c r="J166" s="109" t="inlineStr"/>
      <c r="K166" s="109" t="inlineStr">
        <is>
          <t>Closed</t>
        </is>
      </c>
      <c r="L166" s="109" t="inlineStr">
        <is>
          <t>2026-05-06</t>
        </is>
      </c>
      <c r="M166" s="109" t="inlineStr">
        <is>
          <t>2026-05-12</t>
        </is>
      </c>
      <c r="N166" s="109" t="inlineStr">
        <is>
          <t>Nile Production Support</t>
        </is>
      </c>
      <c r="O166" s="109" t="inlineStr">
        <is>
          <t>Unassigned</t>
        </is>
      </c>
      <c r="P166" s="109" t="inlineStr">
        <is>
          <t>Castro, Ronald</t>
        </is>
      </c>
      <c r="Q166" s="109" t="inlineStr">
        <is>
          <t>Resolved</t>
        </is>
      </c>
      <c r="R166" s="47" t="inlineStr">
        <is>
          <t>Loaded two files and Castro, Ronald requested to pause the ticket due to issues on EDM side</t>
        </is>
      </c>
      <c r="S166" s="109" t="inlineStr"/>
      <c r="T166" s="109" t="inlineStr"/>
      <c r="U166" s="109" t="inlineStr"/>
      <c r="V166" s="120" t="inlineStr">
        <is>
          <t>Spooler issue</t>
        </is>
      </c>
      <c r="W166" s="109" t="inlineStr"/>
    </row>
    <row r="167">
      <c r="A167" s="107" t="inlineStr">
        <is>
          <t>IT-3038968</t>
        </is>
      </c>
      <c r="B167" s="107" t="inlineStr">
        <is>
          <t>IT-3038968</t>
        </is>
      </c>
      <c r="C167" s="107" t="inlineStr"/>
      <c r="D167" s="44" t="inlineStr">
        <is>
          <t>Monthly Pipeline dm-optumcare-facets-provider_GDF2_7 is getting failed for 2026/05/06</t>
        </is>
      </c>
      <c r="E167" s="44" t="inlineStr">
        <is>
          <t>Above pipeline is getting failed due to unmatched raw data count. File name opcsi_provider_incoming_1_20260505.csv File header record count 646617 File trailer record count 646617 File data line count 646617 Ingested row count 646615 Action Required Investigate and fix if the issue is due to data quality, data load error, or some other reasons. If issue is minor and can be ignored, in Client Configuration set parameter gdf_provider_unmatched_raw_count_override_20260505 to 1 and proceed with the run Mail subject:Unmatched gdf_provider raw data count - 20260505_1 - prod - dm-optumcare-facets-provider_GDF2_7 Please investigate and help fix the issue.</t>
        </is>
      </c>
      <c r="F167" s="44" t="inlineStr">
        <is>
          <t>For monthly optumcare-facets provider pipeline dm-optumcare-facets-provider_GDF2_7 we were unable to ingest a record from the raw client file. There is one record that has an improper line break in the middle of it, causing it to split into two records that are both not able to be ingested. Reached out to CSM to confirm whether or not we can proceed Waiting on CSM approval We received approval to override and proceed with the ingestion RE: Unmatched gdf_provider raw data count - 20260505_1 - prod - dm-optumcare-facets-provider_GDF2_7</t>
        </is>
      </c>
      <c r="G167" s="44" t="inlineStr">
        <is>
          <t>Received approval to override. See comments for details.</t>
        </is>
      </c>
      <c r="H167" s="107" t="inlineStr">
        <is>
          <t>Other</t>
        </is>
      </c>
      <c r="I167" s="107" t="inlineStr">
        <is>
          <t>Other</t>
        </is>
      </c>
      <c r="J167" s="107" t="inlineStr"/>
      <c r="K167" s="107" t="inlineStr">
        <is>
          <t>Closed</t>
        </is>
      </c>
      <c r="L167" s="107" t="inlineStr">
        <is>
          <t>2026-05-06</t>
        </is>
      </c>
      <c r="M167" s="107" t="inlineStr">
        <is>
          <t>2026-05-06</t>
        </is>
      </c>
      <c r="N167" s="107" t="inlineStr">
        <is>
          <t>Nile Production Support</t>
        </is>
      </c>
      <c r="O167" s="107" t="inlineStr">
        <is>
          <t>Unassigned</t>
        </is>
      </c>
      <c r="P167" s="107" t="inlineStr">
        <is>
          <t>Kandel, Amik</t>
        </is>
      </c>
      <c r="Q167" s="107" t="inlineStr">
        <is>
          <t>Resolved</t>
        </is>
      </c>
      <c r="R167" s="44" t="inlineStr">
        <is>
          <t>For monthly optumcare-facets provider pipeline dm-optumcare-facets-provider_GDF2_7 we were unable to ingest a record from the raw client file. There is one record that has an improper line break in the middle of it, causing it to split into two records that are both not able to be ingested. Reached out to CSM to confirm whether or not we can proceed Waiting on CSM approval We received approval to override and proceed with the ingestion RE: Unmatched gdf_provider raw data count - 20260505_1 - prod - dm-optumcare-facets-provider_GDF2_7</t>
        </is>
      </c>
      <c r="S167" s="107" t="inlineStr"/>
      <c r="T167" s="107" t="inlineStr"/>
      <c r="U167" s="107" t="inlineStr"/>
      <c r="V167" s="128" t="inlineStr">
        <is>
          <t>Data Issue</t>
        </is>
      </c>
      <c r="W167" s="107" t="inlineStr"/>
    </row>
    <row r="168">
      <c r="A168" s="109" t="inlineStr">
        <is>
          <t>IT-3038783</t>
        </is>
      </c>
      <c r="B168" s="109" t="inlineStr">
        <is>
          <t>IT-3038783</t>
        </is>
      </c>
      <c r="C168" s="109" t="inlineStr"/>
      <c r="D168" s="47" t="inlineStr">
        <is>
          <t>Timing of/Missing Data Load (Highmark)</t>
        </is>
      </c>
      <c r="E168" s="47" t="inlineStr">
        <is>
          <t>We have noticed that the timing between when the data load is completed and when that new claim information is available in Datameer is unclear. For example, the data load was completed on Saturday 5/2, however there have not been any new claims loaded into our Datameer reports yet this week. We would like to get a clear and consistent expectation of when the data load information will be loaded into Datameer. A “load date” field in Datameer might also be helpful to better track this. Thank you!</t>
        </is>
      </c>
      <c r="F168" s="47" t="inlineStr">
        <is>
          <t>Waiting for user response Username: tanya.trujic Manager name : Steve Roman Employee ID: 159742 Date of Join: unsure Location: remote Vendor: Highmark Datameer Service Request https://forms.office.com/pages/responsepage.aspx?id=ajGAdp5exUylLp7onujEBBT8yBL1vrdCraXH-rL5RCNURENPWkJIMkVCTlBFUDA5ODRJMFhEODA5Uy4u&amp;route=shorturl Datameer Link: https://usapmeer02.cotiviti.com:8443/browser Asking John Pacete for any information he has about who loads data for Datameer. There are not stored procedures on Stage or Production servers that appear to mention Datameer in Highmark.</t>
        </is>
      </c>
      <c r="G168" s="47" t="inlineStr"/>
      <c r="H168" s="109" t="inlineStr"/>
      <c r="I168" s="109" t="inlineStr"/>
      <c r="J168" s="109" t="inlineStr"/>
      <c r="K168" s="109" t="inlineStr">
        <is>
          <t>Active</t>
        </is>
      </c>
      <c r="L168" s="109" t="inlineStr">
        <is>
          <t>2026-05-06</t>
        </is>
      </c>
      <c r="M168" s="109" t="inlineStr">
        <is>
          <t>2026-05-11</t>
        </is>
      </c>
      <c r="N168" s="109" t="inlineStr">
        <is>
          <t>Nile Production Support</t>
        </is>
      </c>
      <c r="O168" s="109" t="inlineStr">
        <is>
          <t>Unassigned</t>
        </is>
      </c>
      <c r="P168" s="109" t="inlineStr">
        <is>
          <t>Trujic, Tanya</t>
        </is>
      </c>
      <c r="Q168" s="109" t="inlineStr">
        <is>
          <t>Unresolved</t>
        </is>
      </c>
      <c r="R168" s="47" t="inlineStr">
        <is>
          <t>Waiting for user response Username: tanya.trujic Manager name : Steve Roman Employee ID: 159742 Date of Join: unsure Location: remote Vendor: Highmark Datameer Service Request https://forms.office.com/pages/responsepage.aspx?id=ajGAdp5exUylLp7onujEBBT8yBL1vrdCraXH-rL5RCNURENPWkJIMkVCTlBFUDA5ODRJMFhEODA5Uy4u&amp;route=shorturl Datameer Link: https://usapmeer02.cotiviti.com:8443/browser Asking John Pacete for any information he has about who loads data for Datameer. There are not stored procedures on Stage or Production servers that appear to mention Datameer in Highmark.</t>
        </is>
      </c>
      <c r="S168" s="109" t="inlineStr"/>
      <c r="T168" s="109" t="inlineStr"/>
      <c r="U168" s="109" t="inlineStr"/>
      <c r="V168" s="110" t="inlineStr">
        <is>
          <t>Other</t>
        </is>
      </c>
      <c r="W168" s="109" t="inlineStr">
        <is>
          <t>Yes</t>
        </is>
      </c>
    </row>
    <row r="169">
      <c r="A169" s="107" t="inlineStr">
        <is>
          <t>IT-3038766</t>
        </is>
      </c>
      <c r="B169" s="107" t="inlineStr">
        <is>
          <t>IT-3038766</t>
        </is>
      </c>
      <c r="C169" s="107" t="inlineStr"/>
      <c r="D169" s="44" t="inlineStr">
        <is>
          <t>VfcApprovedCptHcpcs Replacement Table</t>
        </is>
      </c>
      <c r="E169" s="44" t="inlineStr">
        <is>
          <t>Complete replacement of existing table with attached table. This is outside the normal cadence for table updates as we noticed missing rows from the last updated table to what is present in MCL. Claims are not qualifying for SpotCheck resulting in and estimation of about $150,000.00 of opportunities being missed.</t>
        </is>
      </c>
      <c r="F169" s="44" t="inlineStr">
        <is>
          <t>VfcApprovedCptHcpcs Table.xlsx (82 kB)</t>
        </is>
      </c>
      <c r="G169" s="44" t="inlineStr"/>
      <c r="H169" s="107" t="inlineStr">
        <is>
          <t>Other</t>
        </is>
      </c>
      <c r="I169" s="107" t="inlineStr">
        <is>
          <t>Other</t>
        </is>
      </c>
      <c r="J169" s="107" t="inlineStr"/>
      <c r="K169" s="107" t="inlineStr">
        <is>
          <t>In Progress (HD1)</t>
        </is>
      </c>
      <c r="L169" s="107" t="inlineStr">
        <is>
          <t>2026-05-06</t>
        </is>
      </c>
      <c r="M169" s="107" t="inlineStr">
        <is>
          <t>2026-05-06</t>
        </is>
      </c>
      <c r="N169" s="107" t="inlineStr">
        <is>
          <t>Nile Production Support</t>
        </is>
      </c>
      <c r="O169" s="107" t="inlineStr">
        <is>
          <t>Unassigned</t>
        </is>
      </c>
      <c r="P169" s="107" t="inlineStr">
        <is>
          <t>Knochel, Tanya</t>
        </is>
      </c>
      <c r="Q169" s="107" t="inlineStr">
        <is>
          <t>Unresolved</t>
        </is>
      </c>
      <c r="R169" s="44" t="inlineStr">
        <is>
          <t>VfcApprovedCptHcpcs Table.xlsx (82 kB)</t>
        </is>
      </c>
      <c r="S169" s="107" t="inlineStr"/>
      <c r="T169" s="107" t="inlineStr"/>
      <c r="U169" s="107" t="inlineStr"/>
      <c r="V169" s="113" t="inlineStr">
        <is>
          <t>Other</t>
        </is>
      </c>
      <c r="W169" s="107" t="inlineStr">
        <is>
          <t>Yes</t>
        </is>
      </c>
    </row>
    <row r="170">
      <c r="A170" s="109" t="inlineStr">
        <is>
          <t>IT-3038479</t>
        </is>
      </c>
      <c r="B170" s="109" t="inlineStr">
        <is>
          <t>IT-3038479</t>
        </is>
      </c>
      <c r="C170" s="109" t="inlineStr"/>
      <c r="D170" s="47" t="inlineStr">
        <is>
          <t>Update the tracker with the newly deployed TBA and History Lean Ingestion pipelines for bcbsnc - facets that are now live in production.</t>
        </is>
      </c>
      <c r="E170" s="47" t="inlineStr">
        <is>
          <t>Hello Jani, Shaik , The bcbsnc–facets pipelines have been successfully deployed and are now live in production. Going forward, the published lean ingestion pipelines will be used to process both institutional and professional files for tba and history. It is requested you to update the tracker accordingly. TBA institutional and professional 2022-08-03-97147120 --&gt; 2026-04-07-133324457 report: 2026-04-20-24849739 2022-08-03-97049508 --&gt; 2026-04-07-133216901 report: 2026-04-20-24997280 History institutional and professional 2022-08-03-97220326 --&gt; 2026-04-07-133484166 report: 2026-04-20-25612275 2022-08-03-97338599 --&gt; 2026-04-07-132804256 report: 2026-04-20-25531017 Thank You</t>
        </is>
      </c>
      <c r="F170" s="47" t="inlineStr"/>
      <c r="G170" s="47" t="inlineStr">
        <is>
          <t>Details recorded accordingly.</t>
        </is>
      </c>
      <c r="H170" s="109" t="inlineStr">
        <is>
          <t>Other</t>
        </is>
      </c>
      <c r="I170" s="109" t="inlineStr">
        <is>
          <t>Other</t>
        </is>
      </c>
      <c r="J170" s="109" t="inlineStr"/>
      <c r="K170" s="109" t="inlineStr">
        <is>
          <t>Closed</t>
        </is>
      </c>
      <c r="L170" s="109" t="inlineStr">
        <is>
          <t>2026-05-06</t>
        </is>
      </c>
      <c r="M170" s="109" t="inlineStr">
        <is>
          <t>2026-05-07</t>
        </is>
      </c>
      <c r="N170" s="109" t="inlineStr">
        <is>
          <t>Nile Production Support</t>
        </is>
      </c>
      <c r="O170" s="109" t="inlineStr">
        <is>
          <t>Unassigned</t>
        </is>
      </c>
      <c r="P170" s="109" t="inlineStr">
        <is>
          <t>Karakavalasa, SriVarshini</t>
        </is>
      </c>
      <c r="Q170" s="109" t="inlineStr">
        <is>
          <t>Resolved</t>
        </is>
      </c>
      <c r="R170" s="47" t="inlineStr"/>
      <c r="S170" s="109" t="inlineStr"/>
      <c r="T170" s="109" t="inlineStr"/>
      <c r="U170" s="109" t="inlineStr"/>
      <c r="V170" s="110" t="inlineStr">
        <is>
          <t>Other</t>
        </is>
      </c>
      <c r="W170" s="109" t="inlineStr">
        <is>
          <t>Yes</t>
        </is>
      </c>
    </row>
    <row r="171">
      <c r="A171" s="107" t="inlineStr">
        <is>
          <t>IT-3037303</t>
        </is>
      </c>
      <c r="B171" s="107" t="inlineStr">
        <is>
          <t>IT-3037303</t>
        </is>
      </c>
      <c r="C171" s="107" t="inlineStr"/>
      <c r="D171" s="44" t="inlineStr">
        <is>
          <t>New Nile pipeline - Humana CSI_CFI</t>
        </is>
      </c>
      <c r="E171" s="44" t="inlineStr">
        <is>
          <t>Source: st.humana.com Schedule: Monthly on the 10th SQL target server: DC-Austin SQL target table: [HumanaAuditors] . [dbo] . [CSI_CFI] Filename pattern- CSI_CFI_YYYYMM.zip Ingestion mode: Append Files are present on the website. Historical files have been sent to us. Please check attached photo</t>
        </is>
      </c>
      <c r="F171" s="44" t="inlineStr">
        <is>
          <t>CREATE TABLE [dbo] . [CSI_CFI] ( [ACTION_TIMESTAMP] [date] NULL, [CAS_TIMELY_FILING_CD] [varchar] (50) NULL, [COMML_CIS_ID] [varchar] (50) NULL, [CTRCT_BUSLV_EFF_DATE] [date] NULL, [CTRCT_BUSLV_END_DATE] [date] NULL, [CTRCT_CAP_TAX_ID] [varchar] (50) NULL, [CTRCT_CLM_TAX_ID] [varchar] (50) NULL, [CTRCT_CNTR_ID] [varchar] (50) NULL, [CTRCT_EFF_DATE] [date] NULL, [CTRCT_END_DATE] [date] NULL, [CTRCT_SEQ_NBR] [varchar] (50) NULL, [CTRCT_STAT_CD] [varchar] (50) NULL, [HOSP_PHY_CD] [varchar] (50) NULL, [MEDCR_CIS_ID] [varchar] (50) NULL, [MSTR_WILDCD_CD] [varchar] (50) NULL, [MTV_TIMELY_FILING_CD] [varchar] (50) NULL, [PROV_NTWK_ID] [varchar] (50) NULL, [PROV_SOURCE_CD] [varchar] (50) NULL, [PYMT_CTRCT_ID] [varchar] (50) NULL, [PYMT_CTRCT_WILDCD_CD] [varchar] (50) NULL, [ROLLUP_CD] [varchar] (50) NULL, [SRC_LOB_CD] [varchar] (50) NULL, [SRC_MAJOR_LOB_CD] [varchar] (50) NULL, [SRC_PAR_CD] [varchar] (50) NULL, [SRC_PLATFORM_CD] [varchar] (50) NULL, [SRC_PROV_UNIQ_ID] [varchar] (50) NULL, [SRC_PROVIDER_ID] [varchar] (50) NULL, [UPDT_DATE] [date] NULL, [UPDT_USER_ID] [varchar] (50) NULL, [LastUpdateUser] [varchar] (100) NULL, [SFileDate] [smalldatetime] NULL, [SFilename] [varchar] (100) NULL, [AutoId] [int] IDENTITY(1,1) NOT NULL Hi Shrestha, Sajjan file has been ingested in to target table : CSI_CFI, Please validate and let me know if any changes needed. Keeping it on hold, since the other 2 maps implementation is priority. Hi Shrestha, Sajjan , I have corrected the mapping logic to populate correct date fields. Please validate and let me know if anything needed. Thanks. Awaiting user approval to close the ticket.</t>
        </is>
      </c>
      <c r="G171" s="44" t="inlineStr">
        <is>
          <t>Configured all the required pipeline, dataset, mapping templates and tested for 1 file in dev. User validated the data and confirmed.</t>
        </is>
      </c>
      <c r="H171" s="107" t="inlineStr">
        <is>
          <t>Other</t>
        </is>
      </c>
      <c r="I171" s="107" t="inlineStr">
        <is>
          <t>Other</t>
        </is>
      </c>
      <c r="J171" s="107" t="inlineStr"/>
      <c r="K171" s="107" t="inlineStr">
        <is>
          <t>Closed</t>
        </is>
      </c>
      <c r="L171" s="107" t="inlineStr">
        <is>
          <t>2026-05-05</t>
        </is>
      </c>
      <c r="M171" s="107" t="inlineStr">
        <is>
          <t>2026-05-20</t>
        </is>
      </c>
      <c r="N171" s="107" t="inlineStr">
        <is>
          <t>Nile Production Support</t>
        </is>
      </c>
      <c r="O171" s="107" t="inlineStr">
        <is>
          <t>Unassigned</t>
        </is>
      </c>
      <c r="P171" s="107" t="inlineStr">
        <is>
          <t>Shrestha, Sajjan</t>
        </is>
      </c>
      <c r="Q171" s="107" t="inlineStr">
        <is>
          <t>Resolved</t>
        </is>
      </c>
      <c r="R171" s="44" t="inlineStr">
        <is>
          <t>CREATE TABLE [dbo] . [CSI_CFI] ( [ACTION_TIMESTAMP] [date] NULL, [CAS_TIMELY_FILING_CD] [varchar] (50) NULL, [COMML_CIS_ID] [varchar] (50) NULL, [CTRCT_BUSLV_EFF_DATE] [date] NULL, [CTRCT_BUSLV_END_DATE] [date] NULL, [CTRCT_CAP_TAX_ID] [varchar] (50) NULL, [CTRCT_CLM_TAX_ID] [varchar] (50) NULL, [CTRCT_CNTR_ID] [varchar] (50) NULL, [CTRCT_EFF_DATE] [date] NULL, [CTRCT_END_DATE] [date] NULL, [CTRCT_SEQ_NBR] [varchar] (50) NULL, [CTRCT_STAT_CD] [varchar] (50) NULL, [HOSP_PHY_CD] [varchar] (50) NULL, [MEDCR_CIS_ID] [varchar] (50) NULL, [MSTR_WILDCD_CD] [varchar] (50) NULL, [MTV_TIMELY_FILING_CD] [varchar] (50) NULL, [PROV_NTWK_ID] [varchar] (50) NULL, [PROV_SOURCE_CD] [varchar] (50) NULL, [PYMT_CTRCT_ID] [varchar] (50) NULL, [PYMT_CTRCT_WILDCD_CD] [varchar] (50) NULL, [ROLLUP_CD] [varchar] (50) NULL, [SRC_LOB_CD] [varchar] (50) NULL, [SRC_MAJOR_LOB_CD] [varchar] (50) NULL, [SRC_PAR_CD] [varchar] (50) NULL, [SRC_PLATFORM_CD] [varchar] (50) NULL, [SRC_PROV_UNIQ_ID] [varchar] (50) NULL, [SRC_PROVIDER_ID] [varchar] (50) NULL, [UPDT_DATE] [date] NULL, [UPDT_USER_ID] [varchar] (50) NULL, [LastUpdateUser] [varchar] (100) NULL, [SFileDate] [smalldatetime] NULL, [SFilename] [varchar] (100) NULL, [AutoId] [int] IDENTITY(1,1) NOT NULL Hi Shrestha, Sajjan file has been ingested in to target table : CSI_CFI, Please validate and let me know if any changes needed. Keeping it on hold, since the other 2 maps implementation is priority. Hi Shrestha, Sajjan , I have corrected the mapping logic to populate correct date fields. Please validate and let me know if anything needed. Thanks. Awaiting user approval to close the ticket.</t>
        </is>
      </c>
      <c r="S171" s="107" t="inlineStr"/>
      <c r="T171" s="107" t="inlineStr"/>
      <c r="U171" s="107" t="inlineStr"/>
      <c r="V171" s="123" t="inlineStr">
        <is>
          <t>Configuration Issue</t>
        </is>
      </c>
      <c r="W171" s="107" t="inlineStr"/>
    </row>
    <row r="172">
      <c r="A172" s="109" t="inlineStr">
        <is>
          <t>IT-3036949</t>
        </is>
      </c>
      <c r="B172" s="109" t="inlineStr">
        <is>
          <t>IT-3036949</t>
        </is>
      </c>
      <c r="C172" s="109" t="inlineStr"/>
      <c r="D172" s="47" t="inlineStr">
        <is>
          <t>Nile Production Support Ticket Management Efforts</t>
        </is>
      </c>
      <c r="E172" s="47" t="inlineStr">
        <is>
          <t>Nile Production Support Ticket Management Efforts</t>
        </is>
      </c>
      <c r="F172" s="47" t="inlineStr"/>
      <c r="G172" s="47" t="inlineStr">
        <is>
          <t>Closing the ticket for the sprint efforts and will be creating a new ticket for the upcoming sprint.</t>
        </is>
      </c>
      <c r="H172" s="109" t="inlineStr">
        <is>
          <t>Other</t>
        </is>
      </c>
      <c r="I172" s="109" t="inlineStr">
        <is>
          <t>Other</t>
        </is>
      </c>
      <c r="J172" s="109" t="inlineStr"/>
      <c r="K172" s="109" t="inlineStr">
        <is>
          <t>Closed</t>
        </is>
      </c>
      <c r="L172" s="109" t="inlineStr">
        <is>
          <t>2026-05-05</t>
        </is>
      </c>
      <c r="M172" s="109" t="inlineStr">
        <is>
          <t>2026-05-12</t>
        </is>
      </c>
      <c r="N172" s="109" t="inlineStr">
        <is>
          <t>Nile Production Support</t>
        </is>
      </c>
      <c r="O172" s="109" t="inlineStr">
        <is>
          <t>Unassigned</t>
        </is>
      </c>
      <c r="P172" s="109" t="inlineStr">
        <is>
          <t>Jani, Shaik</t>
        </is>
      </c>
      <c r="Q172" s="109" t="inlineStr">
        <is>
          <t>Resolved</t>
        </is>
      </c>
      <c r="R172" s="47" t="inlineStr"/>
      <c r="S172" s="109" t="inlineStr"/>
      <c r="T172" s="109" t="inlineStr"/>
      <c r="U172" s="109" t="inlineStr"/>
      <c r="V172" s="110" t="inlineStr">
        <is>
          <t>Other</t>
        </is>
      </c>
      <c r="W172" s="109" t="inlineStr">
        <is>
          <t>Yes</t>
        </is>
      </c>
    </row>
    <row r="173">
      <c r="A173" s="107" t="inlineStr">
        <is>
          <t>IT-3036803</t>
        </is>
      </c>
      <c r="B173" s="107" t="inlineStr">
        <is>
          <t>IT-3036803</t>
        </is>
      </c>
      <c r="C173" s="107" t="inlineStr"/>
      <c r="D173" s="44" t="inlineStr">
        <is>
          <t>CEPOH and CEPSC Pipeline</t>
        </is>
      </c>
      <c r="E173" s="44" t="inlineStr">
        <is>
          <t>Please update pipeline so that they are prepared to handle up to 24 files per day for both CEPOH and CEPSC. Files should increment as needed.</t>
        </is>
      </c>
      <c r="F173" s="44" t="inlineStr">
        <is>
          <t>Change implemented</t>
        </is>
      </c>
      <c r="G173" s="44" t="inlineStr">
        <is>
          <t>Change implemented</t>
        </is>
      </c>
      <c r="H173" s="107" t="inlineStr">
        <is>
          <t>Other</t>
        </is>
      </c>
      <c r="I173" s="107" t="inlineStr">
        <is>
          <t>Other</t>
        </is>
      </c>
      <c r="J173" s="107" t="inlineStr"/>
      <c r="K173" s="107" t="inlineStr">
        <is>
          <t>Closed</t>
        </is>
      </c>
      <c r="L173" s="107" t="inlineStr">
        <is>
          <t>2026-05-05</t>
        </is>
      </c>
      <c r="M173" s="107" t="inlineStr">
        <is>
          <t>2026-05-16</t>
        </is>
      </c>
      <c r="N173" s="107" t="inlineStr">
        <is>
          <t>Nile Production Support</t>
        </is>
      </c>
      <c r="O173" s="107" t="inlineStr">
        <is>
          <t>Unassigned</t>
        </is>
      </c>
      <c r="P173" s="107" t="inlineStr">
        <is>
          <t>Brockett, Kylie</t>
        </is>
      </c>
      <c r="Q173" s="107" t="inlineStr">
        <is>
          <t>Resolved</t>
        </is>
      </c>
      <c r="R173" s="44" t="inlineStr">
        <is>
          <t>Change implemented</t>
        </is>
      </c>
      <c r="S173" s="107" t="inlineStr"/>
      <c r="T173" s="107" t="inlineStr"/>
      <c r="U173" s="107" t="inlineStr"/>
      <c r="V173" s="113" t="inlineStr">
        <is>
          <t>Other</t>
        </is>
      </c>
      <c r="W173" s="107" t="inlineStr">
        <is>
          <t>Yes</t>
        </is>
      </c>
    </row>
    <row r="174">
      <c r="A174" s="109" t="inlineStr">
        <is>
          <t>IT-3036445</t>
        </is>
      </c>
      <c r="B174" s="109" t="inlineStr">
        <is>
          <t>IT-3036445</t>
        </is>
      </c>
      <c r="C174" s="109" t="inlineStr"/>
      <c r="D174" s="47" t="inlineStr">
        <is>
          <t>Pipeline: dm-amerihealth-results-actian_migration_claims_detail | Data Date: 2026/05/05 | Failure</t>
        </is>
      </c>
      <c r="E174" s="47" t="inlineStr">
        <is>
          <t>Pipeline: dm-amerihealth-results-actian_migration_claims_detail , Version: V1.3, Data Date: 2026/05/05 Error Message: Exiting Process with failure.Key source-file: /dataingestionprod/restricted/218-amerihealth-results/rawincoming/2024-09-20-102280221/1.3/125369.115465/20260505/1/NCDS_ClaimsRecovery.05012026.zip/NCDS_ClaimsRecovery.05012026.txt is zero-byte and Size: 0 . Stopping Ingestion Process as configured as mandatory file (Source section). We got CONFIRMATION from Karyn (EDM) to proceed with the loading without NCDS_ClaimsRecovery file. Thank you</t>
        </is>
      </c>
      <c r="F174" s="47" t="inlineStr">
        <is>
          <t>Hi Enid Ike pipeline completed please check wth Karyn Thanks Added a new minor to handle empty datasets we will monitor for next week Thanks Satish Devatha Hi Enid Ike pipeline completed.</t>
        </is>
      </c>
      <c r="G174" s="47" t="inlineStr">
        <is>
          <t>pipeline completed</t>
        </is>
      </c>
      <c r="H174" s="109" t="inlineStr">
        <is>
          <t>Other</t>
        </is>
      </c>
      <c r="I174" s="109" t="inlineStr">
        <is>
          <t>Other</t>
        </is>
      </c>
      <c r="J174" s="109" t="inlineStr"/>
      <c r="K174" s="109" t="inlineStr">
        <is>
          <t>Closed</t>
        </is>
      </c>
      <c r="L174" s="109" t="inlineStr">
        <is>
          <t>2026-05-05</t>
        </is>
      </c>
      <c r="M174" s="109" t="inlineStr">
        <is>
          <t>2026-05-07</t>
        </is>
      </c>
      <c r="N174" s="109" t="inlineStr">
        <is>
          <t>Nile Production Support</t>
        </is>
      </c>
      <c r="O174" s="109" t="inlineStr">
        <is>
          <t>Unassigned</t>
        </is>
      </c>
      <c r="P174" s="109" t="inlineStr">
        <is>
          <t>Enid Ike</t>
        </is>
      </c>
      <c r="Q174" s="109" t="inlineStr">
        <is>
          <t>Resolved</t>
        </is>
      </c>
      <c r="R174" s="47" t="inlineStr">
        <is>
          <t>Hi Enid Ike pipeline completed please check wth Karyn Thanks Added a new minor to handle empty datasets we will monitor for next week Thanks Satish Devatha Hi Enid Ike pipeline completed.</t>
        </is>
      </c>
      <c r="S174" s="109" t="inlineStr"/>
      <c r="T174" s="109" t="inlineStr"/>
      <c r="U174" s="109" t="inlineStr"/>
      <c r="V174" s="110" t="inlineStr">
        <is>
          <t>Other</t>
        </is>
      </c>
      <c r="W174" s="109" t="inlineStr">
        <is>
          <t>Yes</t>
        </is>
      </c>
    </row>
    <row r="175">
      <c r="A175" s="107" t="inlineStr">
        <is>
          <t>IT-3036288</t>
        </is>
      </c>
      <c r="B175" s="107" t="inlineStr">
        <is>
          <t>IT-3036288</t>
        </is>
      </c>
      <c r="C175" s="107" t="inlineStr"/>
      <c r="D175" s="44" t="inlineStr">
        <is>
          <t>One Month of Data From BCBSNE</t>
        </is>
      </c>
      <c r="E175" s="44" t="inlineStr">
        <is>
          <t>We need one month of data from Blue Cross Blue Shield Nebraska for a new Opportunity Analysis. We will need both Professional and Facility Claims (OP + IP) in GDF format.</t>
        </is>
      </c>
      <c r="F175" s="44" t="inlineStr">
        <is>
          <t>Routed from DIP Board: [NDIS-818] One Month of Data From BCBSNE - R&amp;D Jira - WDC Hi Smith, Emily placed 1 file bcsne_postcheck_medical_incoming_12_20260505.txt to teh T1 server Thanks</t>
        </is>
      </c>
      <c r="G175" s="44" t="inlineStr">
        <is>
          <t>file placed</t>
        </is>
      </c>
      <c r="H175" s="107" t="inlineStr">
        <is>
          <t>Other</t>
        </is>
      </c>
      <c r="I175" s="107" t="inlineStr">
        <is>
          <t>Other</t>
        </is>
      </c>
      <c r="J175" s="107" t="inlineStr"/>
      <c r="K175" s="107" t="inlineStr">
        <is>
          <t>Closed</t>
        </is>
      </c>
      <c r="L175" s="107" t="inlineStr">
        <is>
          <t>2026-05-05</t>
        </is>
      </c>
      <c r="M175" s="107" t="inlineStr">
        <is>
          <t>2026-05-07</t>
        </is>
      </c>
      <c r="N175" s="107" t="inlineStr">
        <is>
          <t>Nile Production Support</t>
        </is>
      </c>
      <c r="O175" s="107" t="inlineStr">
        <is>
          <t>Unassigned</t>
        </is>
      </c>
      <c r="P175" s="107" t="inlineStr">
        <is>
          <t>Smith, Emily</t>
        </is>
      </c>
      <c r="Q175" s="107" t="inlineStr">
        <is>
          <t>Resolved</t>
        </is>
      </c>
      <c r="R175" s="44" t="inlineStr">
        <is>
          <t>Routed from DIP Board: [NDIS-818] One Month of Data From BCBSNE - R&amp;D Jira - WDC Hi Smith, Emily placed 1 file bcsne_postcheck_medical_incoming_12_20260505.txt to teh T1 server Thanks</t>
        </is>
      </c>
      <c r="S175" s="107" t="inlineStr"/>
      <c r="T175" s="107" t="inlineStr"/>
      <c r="U175" s="107" t="inlineStr"/>
      <c r="V175" s="124" t="inlineStr">
        <is>
          <t>Issue Platform</t>
        </is>
      </c>
      <c r="W175" s="107" t="inlineStr"/>
    </row>
    <row r="176">
      <c r="A176" s="109" t="inlineStr">
        <is>
          <t>IT-3036246</t>
        </is>
      </c>
      <c r="B176" s="109" t="inlineStr">
        <is>
          <t>IT-3036246</t>
        </is>
      </c>
      <c r="C176" s="109" t="inlineStr"/>
      <c r="D176" s="47" t="inlineStr">
        <is>
          <t>No claims received in client BAZHC</t>
        </is>
      </c>
      <c r="E176" s="47" t="inlineStr">
        <is>
          <t>Good morning! We are not seeing a 5/05/2026 batch for client BAZHC. Please confirm if we are to expect flagged claims for CV nurse review today. Thanks so much.</t>
        </is>
      </c>
      <c r="F176" s="47" t="inlineStr">
        <is>
          <t>The files that came on 5/5 looked much smaller compared to the most daily files. Occasionally, we do get very small files (e.g. 4/1, and also 5/7) for this past month. File transimision seemed normal, no issue. Thank you melly Per Lindsey, This can be closed. Can be closed per Lindsey's.</t>
        </is>
      </c>
      <c r="G176" s="47" t="inlineStr">
        <is>
          <t>Client sent much smaller files that day. This happened in the past as well.</t>
        </is>
      </c>
      <c r="H176" s="109" t="inlineStr"/>
      <c r="I176" s="109" t="inlineStr"/>
      <c r="J176" s="109" t="inlineStr"/>
      <c r="K176" s="109" t="inlineStr">
        <is>
          <t>Closed</t>
        </is>
      </c>
      <c r="L176" s="109" t="inlineStr">
        <is>
          <t>2026-05-05</t>
        </is>
      </c>
      <c r="M176" s="109" t="inlineStr">
        <is>
          <t>2026-05-14</t>
        </is>
      </c>
      <c r="N176" s="109" t="inlineStr">
        <is>
          <t>Nile Production Support</t>
        </is>
      </c>
      <c r="O176" s="109" t="inlineStr">
        <is>
          <t>Unassigned</t>
        </is>
      </c>
      <c r="P176" s="109" t="inlineStr">
        <is>
          <t>Clark, Lindsey</t>
        </is>
      </c>
      <c r="Q176" s="109" t="inlineStr">
        <is>
          <t>Closed</t>
        </is>
      </c>
      <c r="R176" s="47" t="inlineStr">
        <is>
          <t>The files that came on 5/5 looked much smaller compared to the most daily files. Occasionally, we do get very small files (e.g. 4/1, and also 5/7) for this past month. File transimision seemed normal, no issue. Thank you melly Per Lindsey, This can be closed. Can be closed per Lindsey's.</t>
        </is>
      </c>
      <c r="S176" s="109" t="inlineStr"/>
      <c r="T176" s="109" t="inlineStr"/>
      <c r="U176" s="109" t="inlineStr"/>
      <c r="V176" s="110" t="inlineStr">
        <is>
          <t>Other</t>
        </is>
      </c>
      <c r="W176" s="109" t="inlineStr">
        <is>
          <t>Yes</t>
        </is>
      </c>
    </row>
    <row r="177">
      <c r="A177" s="107" t="inlineStr">
        <is>
          <t>IT-3036237</t>
        </is>
      </c>
      <c r="B177" s="107" t="inlineStr">
        <is>
          <t>IT-3036237</t>
        </is>
      </c>
      <c r="C177" s="107" t="inlineStr"/>
      <c r="D177" s="44" t="inlineStr">
        <is>
          <t>Monthly pipeline rccv-bsca-facets-history_institutional_claim is getting failed for 2026/04</t>
        </is>
      </c>
      <c r="E177" s="44" t="inlineStr">
        <is>
          <t>Above pipeline is getting failed with error message Could not execute broadcast in 300 secs. You can increase the timeout for broadcasts via spark.sql.broadcastTimeout or disable broadcast join by setting spark.sql.autoBroadcastJoinThreshold to -1. I tried to rerun but still getting same error message. Can someone investigate and fix the issue.</t>
        </is>
      </c>
      <c r="F177" s="44" t="inlineStr">
        <is>
          <t>pipeline completed</t>
        </is>
      </c>
      <c r="G177" s="44" t="inlineStr">
        <is>
          <t>pipeline completed</t>
        </is>
      </c>
      <c r="H177" s="107" t="inlineStr">
        <is>
          <t>Other</t>
        </is>
      </c>
      <c r="I177" s="107" t="inlineStr">
        <is>
          <t>Other</t>
        </is>
      </c>
      <c r="J177" s="107" t="inlineStr"/>
      <c r="K177" s="107" t="inlineStr">
        <is>
          <t>Closed</t>
        </is>
      </c>
      <c r="L177" s="107" t="inlineStr">
        <is>
          <t>2026-05-05</t>
        </is>
      </c>
      <c r="M177" s="107" t="inlineStr">
        <is>
          <t>2026-05-08</t>
        </is>
      </c>
      <c r="N177" s="107" t="inlineStr">
        <is>
          <t>Nile Production Support</t>
        </is>
      </c>
      <c r="O177" s="107" t="inlineStr">
        <is>
          <t>Unassigned</t>
        </is>
      </c>
      <c r="P177" s="107" t="inlineStr">
        <is>
          <t>Kandel, Amik</t>
        </is>
      </c>
      <c r="Q177" s="107" t="inlineStr">
        <is>
          <t>Resolved</t>
        </is>
      </c>
      <c r="R177" s="44" t="inlineStr">
        <is>
          <t>pipeline completed</t>
        </is>
      </c>
      <c r="S177" s="107" t="inlineStr"/>
      <c r="T177" s="107" t="inlineStr"/>
      <c r="U177" s="107" t="inlineStr"/>
      <c r="V177" s="111" t="inlineStr">
        <is>
          <t>Pipeline Schedule</t>
        </is>
      </c>
      <c r="W177" s="107" t="inlineStr"/>
    </row>
    <row r="178">
      <c r="A178" s="109" t="inlineStr">
        <is>
          <t>IT-3036071</t>
        </is>
      </c>
      <c r="B178" s="109" t="inlineStr">
        <is>
          <t>IT-3036071</t>
        </is>
      </c>
      <c r="C178" s="109" t="inlineStr"/>
      <c r="D178" s="47" t="inlineStr">
        <is>
          <t>Geisinger OLA Configuration Update</t>
        </is>
      </c>
      <c r="E178" s="47" t="inlineStr">
        <is>
          <t>Update Geisinger OLA Configuration setup in ProdOps to avoid unnecessary pipeline status in monitoring tab.</t>
        </is>
      </c>
      <c r="F178" s="47" t="inlineStr">
        <is>
          <t>Updated Geisinger OLA Configuration setup in ProdOps for tba and history files and is working as expected. There are no any unnecessary pipeline status in monitoring tab.</t>
        </is>
      </c>
      <c r="G178" s="47" t="inlineStr">
        <is>
          <t>Updated Geisinger OLA Configuration setup in ProdOps for tba and history files and is working as expected. There are no any unnecessary pipeline status in monitoring tab.</t>
        </is>
      </c>
      <c r="H178" s="109" t="inlineStr">
        <is>
          <t>Other</t>
        </is>
      </c>
      <c r="I178" s="109" t="inlineStr">
        <is>
          <t>Other</t>
        </is>
      </c>
      <c r="J178" s="109" t="inlineStr"/>
      <c r="K178" s="109" t="inlineStr">
        <is>
          <t>Closed</t>
        </is>
      </c>
      <c r="L178" s="109" t="inlineStr">
        <is>
          <t>2026-05-05</t>
        </is>
      </c>
      <c r="M178" s="109" t="inlineStr">
        <is>
          <t>2026-05-11</t>
        </is>
      </c>
      <c r="N178" s="109" t="inlineStr">
        <is>
          <t>Nile Production Support</t>
        </is>
      </c>
      <c r="O178" s="109" t="inlineStr">
        <is>
          <t>Unassigned</t>
        </is>
      </c>
      <c r="P178" s="109" t="inlineStr">
        <is>
          <t>Kamsetty, Sravani</t>
        </is>
      </c>
      <c r="Q178" s="109" t="inlineStr">
        <is>
          <t>Resolved</t>
        </is>
      </c>
      <c r="R178" s="47" t="inlineStr">
        <is>
          <t>Updated Geisinger OLA Configuration setup in ProdOps for tba and history files and is working as expected. There are no any unnecessary pipeline status in monitoring tab.</t>
        </is>
      </c>
      <c r="S178" s="109" t="inlineStr"/>
      <c r="T178" s="109" t="inlineStr"/>
      <c r="U178" s="109" t="inlineStr"/>
      <c r="V178" s="118" t="inlineStr">
        <is>
          <t>Configuration Issue</t>
        </is>
      </c>
      <c r="W178" s="109" t="inlineStr"/>
    </row>
    <row r="179">
      <c r="A179" s="107" t="inlineStr">
        <is>
          <t>IT-3036019</t>
        </is>
      </c>
      <c r="B179" s="107" t="inlineStr">
        <is>
          <t>IT-3036019</t>
        </is>
      </c>
      <c r="C179" s="107" t="inlineStr"/>
      <c r="D179" s="44" t="inlineStr">
        <is>
          <t>Spooler bcbsalgov_custom_Actian is getting failed</t>
        </is>
      </c>
      <c r="E179" s="44" t="inlineStr">
        <is>
          <t>bcbsalgov_custom_Actian spooler is getting failed with error message Exception occurred while establishing SFTP connection : timeout: socket is not established. Files are expected to be received at 2nd of every month. Please investigate and fix the issue. Pipelines: dm-bcbsalgov-custom-actian_migration_trigger_monthly_pipelines dm-bcbsalgov-custom-actian_migration_claim_and_claim_extension dm-bcbsalgov-custom-actian_migration_provider dm-bcbsalgov-custom-actian_migration_member trigger_bmc_workflow-CHC_BCBS_AL_GOV_MTH_DATALOAD_NILE File patterns: bcbsal_bluadv_202604.zip bcbsal_member_data_202604.txt bcbsal_prov_data_202604.txt</t>
        </is>
      </c>
      <c r="F179" s="44" t="inlineStr">
        <is>
          <t>The spooler completed successfully and the files were spooled.</t>
        </is>
      </c>
      <c r="G179" s="44" t="inlineStr">
        <is>
          <t>The spooler completed successfully and the files were spooled.</t>
        </is>
      </c>
      <c r="H179" s="107" t="inlineStr">
        <is>
          <t>Other</t>
        </is>
      </c>
      <c r="I179" s="107" t="inlineStr">
        <is>
          <t>Other</t>
        </is>
      </c>
      <c r="J179" s="107" t="inlineStr"/>
      <c r="K179" s="107" t="inlineStr">
        <is>
          <t>Closed</t>
        </is>
      </c>
      <c r="L179" s="107" t="inlineStr">
        <is>
          <t>2026-05-05</t>
        </is>
      </c>
      <c r="M179" s="107" t="inlineStr">
        <is>
          <t>2026-05-06</t>
        </is>
      </c>
      <c r="N179" s="107" t="inlineStr">
        <is>
          <t>Nile Production Support</t>
        </is>
      </c>
      <c r="O179" s="107" t="inlineStr">
        <is>
          <t>Unassigned</t>
        </is>
      </c>
      <c r="P179" s="107" t="inlineStr">
        <is>
          <t>Kandel, Amik</t>
        </is>
      </c>
      <c r="Q179" s="107" t="inlineStr">
        <is>
          <t>Resolved</t>
        </is>
      </c>
      <c r="R179" s="44" t="inlineStr">
        <is>
          <t>The spooler completed successfully and the files were spooled.</t>
        </is>
      </c>
      <c r="S179" s="107" t="inlineStr"/>
      <c r="T179" s="107" t="inlineStr"/>
      <c r="U179" s="107" t="inlineStr"/>
      <c r="V179" s="115" t="inlineStr">
        <is>
          <t>Spooler issue</t>
        </is>
      </c>
      <c r="W179" s="107" t="inlineStr"/>
    </row>
    <row r="180">
      <c r="A180" s="109" t="inlineStr">
        <is>
          <t>IT-3035952</t>
        </is>
      </c>
      <c r="B180" s="109" t="inlineStr">
        <is>
          <t>IT-3035952</t>
        </is>
      </c>
      <c r="C180" s="109" t="inlineStr"/>
      <c r="D180" s="47" t="inlineStr">
        <is>
          <t>One Week of latest data for BCBSNC</t>
        </is>
      </c>
      <c r="E180" s="47" t="inlineStr">
        <is>
          <t>We have a request to complete a File Layout Review and a Data Quality Assessment for Blue Cross Blue Shield North Carolina. I will update the timeline once we receive full files from the Nile team. Institutional only Payer Shorts: BCNCF and BCNCM</t>
        </is>
      </c>
      <c r="F180" s="47" t="inlineStr">
        <is>
          <t>This has been routed from DIP board: [NDIS-817] One Week of latest data for BCBSNC - R&amp;D Jira - WDC Files are placed to T1 server.</t>
        </is>
      </c>
      <c r="G180" s="47" t="inlineStr">
        <is>
          <t>Files are placed as requested</t>
        </is>
      </c>
      <c r="H180" s="109" t="inlineStr">
        <is>
          <t>Other</t>
        </is>
      </c>
      <c r="I180" s="109" t="inlineStr">
        <is>
          <t>Other</t>
        </is>
      </c>
      <c r="J180" s="109" t="inlineStr"/>
      <c r="K180" s="109" t="inlineStr">
        <is>
          <t>Closed</t>
        </is>
      </c>
      <c r="L180" s="109" t="inlineStr">
        <is>
          <t>2026-05-05</t>
        </is>
      </c>
      <c r="M180" s="109" t="inlineStr">
        <is>
          <t>2026-05-06</t>
        </is>
      </c>
      <c r="N180" s="109" t="inlineStr">
        <is>
          <t>Nile Production Support</t>
        </is>
      </c>
      <c r="O180" s="109" t="inlineStr">
        <is>
          <t>Unassigned</t>
        </is>
      </c>
      <c r="P180" s="109" t="inlineStr">
        <is>
          <t>Sol, Barbara</t>
        </is>
      </c>
      <c r="Q180" s="109" t="inlineStr">
        <is>
          <t>Resolved</t>
        </is>
      </c>
      <c r="R180" s="47" t="inlineStr">
        <is>
          <t>This has been routed from DIP board: [NDIS-817] One Week of latest data for BCBSNC - R&amp;D Jira - WDC Files are placed to T1 server.</t>
        </is>
      </c>
      <c r="S180" s="109" t="inlineStr"/>
      <c r="T180" s="109" t="inlineStr"/>
      <c r="U180" s="109" t="inlineStr"/>
      <c r="V180" s="122" t="inlineStr">
        <is>
          <t>Issue Platform</t>
        </is>
      </c>
      <c r="W180" s="109" t="inlineStr"/>
    </row>
    <row r="181">
      <c r="A181" s="107" t="inlineStr">
        <is>
          <t>IT-3035942</t>
        </is>
      </c>
      <c r="B181" s="107" t="inlineStr">
        <is>
          <t>IT-3035942</t>
        </is>
      </c>
      <c r="C181" s="107" t="inlineStr"/>
      <c r="D181" s="44" t="inlineStr">
        <is>
          <t>One week of latest data for Cambria</t>
        </is>
      </c>
      <c r="E181" s="44" t="inlineStr">
        <is>
          <t>https://jira2.cotiviti.com/browse/NDIS-816 Routed from DIP board</t>
        </is>
      </c>
      <c r="F181" s="44" t="inlineStr">
        <is>
          <t>Hi Sol, Barbara files are placed to T1 server</t>
        </is>
      </c>
      <c r="G181" s="44" t="inlineStr">
        <is>
          <t>Files placed</t>
        </is>
      </c>
      <c r="H181" s="107" t="inlineStr">
        <is>
          <t>Other</t>
        </is>
      </c>
      <c r="I181" s="107" t="inlineStr">
        <is>
          <t>Other</t>
        </is>
      </c>
      <c r="J181" s="107" t="inlineStr"/>
      <c r="K181" s="107" t="inlineStr">
        <is>
          <t>Closed</t>
        </is>
      </c>
      <c r="L181" s="107" t="inlineStr">
        <is>
          <t>2026-05-05</t>
        </is>
      </c>
      <c r="M181" s="107" t="inlineStr">
        <is>
          <t>2026-05-07</t>
        </is>
      </c>
      <c r="N181" s="107" t="inlineStr">
        <is>
          <t>Nile Production Support</t>
        </is>
      </c>
      <c r="O181" s="107" t="inlineStr">
        <is>
          <t>Unassigned</t>
        </is>
      </c>
      <c r="P181" s="107" t="inlineStr">
        <is>
          <t>Sol, Barbara</t>
        </is>
      </c>
      <c r="Q181" s="107" t="inlineStr">
        <is>
          <t>Resolved</t>
        </is>
      </c>
      <c r="R181" s="44" t="inlineStr">
        <is>
          <t>Hi Sol, Barbara files are placed to T1 server</t>
        </is>
      </c>
      <c r="S181" s="107" t="inlineStr"/>
      <c r="T181" s="107" t="inlineStr"/>
      <c r="U181" s="107" t="inlineStr"/>
      <c r="V181" s="124" t="inlineStr">
        <is>
          <t>Issue Platform</t>
        </is>
      </c>
      <c r="W181" s="107" t="inlineStr"/>
    </row>
    <row r="182">
      <c r="A182" s="109" t="inlineStr">
        <is>
          <t>IT-3035537</t>
        </is>
      </c>
      <c r="B182" s="109" t="inlineStr">
        <is>
          <t>IT-3035537</t>
        </is>
      </c>
      <c r="C182" s="109" t="inlineStr"/>
      <c r="D182" s="47" t="inlineStr">
        <is>
          <t>Weekly Pipeline rccv-optumcare-facets-TIN_exclusion_file is getting failed for 2026/04/30</t>
        </is>
      </c>
      <c r="E182" s="47" t="inlineStr">
        <is>
          <t>Above pipeline is getting failed in ConvertExcelToCsv [convert-exceltocsv] stage . Please check and suggest the action required.</t>
        </is>
      </c>
      <c r="F182" s="47" t="inlineStr">
        <is>
          <t>I have verified the files and previous data. The same test file was spooled into the lower environment, and we are seeing the same issue there as well. Kindly provide a replacement file for this. waiting for replacement file</t>
        </is>
      </c>
      <c r="G182" s="47" t="inlineStr">
        <is>
          <t>created a new pipeline version to accommodate file changing its tab names from List* to Sheet* Also skipped problematic 03/09 file Also chnaged the pipeline cadence from weekly to daily</t>
        </is>
      </c>
      <c r="H182" s="109" t="inlineStr">
        <is>
          <t>Other</t>
        </is>
      </c>
      <c r="I182" s="109" t="inlineStr">
        <is>
          <t>Other</t>
        </is>
      </c>
      <c r="J182" s="109" t="inlineStr"/>
      <c r="K182" s="109" t="inlineStr">
        <is>
          <t>On Hold</t>
        </is>
      </c>
      <c r="L182" s="109" t="inlineStr">
        <is>
          <t>2026-05-05</t>
        </is>
      </c>
      <c r="M182" s="109" t="inlineStr">
        <is>
          <t>2026-05-12</t>
        </is>
      </c>
      <c r="N182" s="109" t="inlineStr">
        <is>
          <t>Nile Production Support</t>
        </is>
      </c>
      <c r="O182" s="109" t="inlineStr">
        <is>
          <t>Unassigned</t>
        </is>
      </c>
      <c r="P182" s="109" t="inlineStr">
        <is>
          <t>Kandel, Amik</t>
        </is>
      </c>
      <c r="Q182" s="109" t="inlineStr">
        <is>
          <t>Unresolved</t>
        </is>
      </c>
      <c r="R182" s="47" t="inlineStr">
        <is>
          <t>I have verified the files and previous data. The same test file was spooled into the lower environment, and we are seeing the same issue there as well. Kindly provide a replacement file for this. waiting for replacement file</t>
        </is>
      </c>
      <c r="S182" s="109" t="inlineStr"/>
      <c r="T182" s="109" t="inlineStr"/>
      <c r="U182" s="109" t="inlineStr"/>
      <c r="V182" s="112" t="inlineStr">
        <is>
          <t>Pipeline Schedule</t>
        </is>
      </c>
      <c r="W182" s="109" t="inlineStr"/>
    </row>
    <row r="183">
      <c r="A183" s="107" t="inlineStr">
        <is>
          <t>IT-3035494</t>
        </is>
      </c>
      <c r="B183" s="107" t="inlineStr">
        <is>
          <t>IT-3035494</t>
        </is>
      </c>
      <c r="C183" s="107" t="inlineStr"/>
      <c r="D183" s="44" t="inlineStr">
        <is>
          <t>Unmatched claimsheader_ark raw data count - 20260504_1 - prod - dm-wellcare-wellcare-mem_prov_claims_ingestion</t>
        </is>
      </c>
      <c r="E183" s="44" t="inlineStr">
        <is>
          <t>The pipeline below got failed due to unmatched record count. Please investigate and suggest. Pipeline: dm-wellcare-wellcare-mem_prov_claims_ingestion Email ref: Unmatched claimsheader_ark raw data count - 20260504_1 - prod - dm-wellcare-wellcare-mem_prov_claims_ingestion</t>
        </is>
      </c>
      <c r="F183" s="44" t="inlineStr">
        <is>
          <t>An additional column was present in the records, which resulted in approximately 12 records being rejected. However, the pipeline was processed by using a raw counts unmatched override parameter in the client feed.</t>
        </is>
      </c>
      <c r="G183" s="44" t="inlineStr">
        <is>
          <t>Pipeline got processed.</t>
        </is>
      </c>
      <c r="H183" s="107" t="inlineStr">
        <is>
          <t>Other</t>
        </is>
      </c>
      <c r="I183" s="107" t="inlineStr">
        <is>
          <t>Other</t>
        </is>
      </c>
      <c r="J183" s="107" t="inlineStr"/>
      <c r="K183" s="107" t="inlineStr">
        <is>
          <t>Closed</t>
        </is>
      </c>
      <c r="L183" s="107" t="inlineStr">
        <is>
          <t>2026-05-05</t>
        </is>
      </c>
      <c r="M183" s="107" t="inlineStr">
        <is>
          <t>2026-05-06</t>
        </is>
      </c>
      <c r="N183" s="107" t="inlineStr">
        <is>
          <t>Nile Production Support</t>
        </is>
      </c>
      <c r="O183" s="107" t="inlineStr">
        <is>
          <t>Unassigned</t>
        </is>
      </c>
      <c r="P183" s="107" t="inlineStr">
        <is>
          <t>Bhattarai, Krishna</t>
        </is>
      </c>
      <c r="Q183" s="107" t="inlineStr">
        <is>
          <t>Resolved</t>
        </is>
      </c>
      <c r="R183" s="44" t="inlineStr">
        <is>
          <t>An additional column was present in the records, which resulted in approximately 12 records being rejected. However, the pipeline was processed by using a raw counts unmatched override parameter in the client feed.</t>
        </is>
      </c>
      <c r="S183" s="107" t="inlineStr"/>
      <c r="T183" s="107" t="inlineStr"/>
      <c r="U183" s="107" t="inlineStr"/>
      <c r="V183" s="128" t="inlineStr">
        <is>
          <t>Data Issue</t>
        </is>
      </c>
      <c r="W183" s="107" t="inlineStr"/>
    </row>
    <row r="184">
      <c r="A184" s="109" t="inlineStr">
        <is>
          <t>IT-3034484</t>
        </is>
      </c>
      <c r="B184" s="109" t="inlineStr">
        <is>
          <t>IT-3034484</t>
        </is>
      </c>
      <c r="C184" s="109" t="inlineStr"/>
      <c r="D184" s="47" t="inlineStr">
        <is>
          <t>Copy Humana Notouch Data from Nile Dev and Nile QC to Nile Prod</t>
        </is>
      </c>
      <c r="E184" s="47" t="inlineStr">
        <is>
          <t>Hello Team, Reason for this request: Humana ARK Notouch CDF has received sign-off from the business and we are now planning to transition this client to the Production Support team. As part of the checklist document, we need to copy the production data from the Nile Dev and Nile QC environments to Nile Production. I have attached the document containing all the relevant paths. Could you please help us with the data copy. Business Sign-Off Received: ✅ Yes Nile Peer Review: ✅ Yes Entities: Notouch Data Source Environment: NILE DEV and Nile QC Target Environment : NILE PROD Data Range/Volumes: 202505–20260430 (Daily) Additional Notes: If the data already exists in prod, Please leave them as it is. Note : Please retain the user/group permissions Date Needed By: 11/05/2026</t>
        </is>
      </c>
      <c r="F184" s="47" t="inlineStr">
        <is>
          <t>Humana-casmetavance_notouch_copy from dev to prod.xlsx (25 kB) Hello Del Rosario, Sylma Joy , Could you please provide approval for Sathish to copy the Humana NoTouch data from Nile Dev / Nile QC to Nile Prod? Approved. Hi Shaik, Parveena files copied please verify Thanks Satish Devatha updated permissions too Thanks Humana-CasMetavance_DEV_QC_Pord_copy_20260506.sh</t>
        </is>
      </c>
      <c r="G184" s="47" t="inlineStr">
        <is>
          <t>Files Copied</t>
        </is>
      </c>
      <c r="H184" s="109" t="inlineStr">
        <is>
          <t>Other</t>
        </is>
      </c>
      <c r="I184" s="109" t="inlineStr">
        <is>
          <t>Other</t>
        </is>
      </c>
      <c r="J184" s="109" t="inlineStr"/>
      <c r="K184" s="109" t="inlineStr">
        <is>
          <t>Closed</t>
        </is>
      </c>
      <c r="L184" s="109" t="inlineStr">
        <is>
          <t>2026-05-05</t>
        </is>
      </c>
      <c r="M184" s="109" t="inlineStr">
        <is>
          <t>2026-05-13</t>
        </is>
      </c>
      <c r="N184" s="109" t="inlineStr">
        <is>
          <t>Nile Production Support</t>
        </is>
      </c>
      <c r="O184" s="109" t="inlineStr">
        <is>
          <t>Unassigned</t>
        </is>
      </c>
      <c r="P184" s="109" t="inlineStr">
        <is>
          <t>Shaik, Parveena</t>
        </is>
      </c>
      <c r="Q184" s="109" t="inlineStr">
        <is>
          <t>Resolved</t>
        </is>
      </c>
      <c r="R184" s="47" t="inlineStr">
        <is>
          <t>Humana-casmetavance_notouch_copy from dev to prod.xlsx (25 kB) Hello Del Rosario, Sylma Joy , Could you please provide approval for Sathish to copy the Humana NoTouch data from Nile Dev / Nile QC to Nile Prod? Approved. Hi Shaik, Parveena files copied please verify Thanks Satish Devatha updated permissions too Thanks Humana-CasMetavance_DEV_QC_Pord_copy_20260506.sh</t>
        </is>
      </c>
      <c r="S184" s="109" t="inlineStr"/>
      <c r="T184" s="109" t="inlineStr"/>
      <c r="U184" s="109" t="inlineStr"/>
      <c r="V184" s="110" t="inlineStr">
        <is>
          <t>Other</t>
        </is>
      </c>
      <c r="W184" s="109" t="inlineStr">
        <is>
          <t>Yes</t>
        </is>
      </c>
    </row>
    <row r="185">
      <c r="A185" s="107" t="inlineStr">
        <is>
          <t>IT-3034448</t>
        </is>
      </c>
      <c r="B185" s="107" t="inlineStr">
        <is>
          <t>IT-3034448</t>
        </is>
      </c>
      <c r="C185" s="107" t="inlineStr"/>
      <c r="D185" s="44" t="inlineStr">
        <is>
          <t>[Fideliscare-Centene]-Update prechecks for BMC and publish all the child pipelines.</t>
        </is>
      </c>
      <c r="E185" s="44" t="inlineStr">
        <is>
          <t>Update precheck with pipeline version as latest and remove all the unnecessary parameters from the pipeline. Publish all the child pipelines and modify subscribe BMC pipeline versions to latest.</t>
        </is>
      </c>
      <c r="F185" s="44" t="inlineStr">
        <is>
          <t>Actian client got terminated. No Action needed. FYI: https://jiraet.cotiviti.com/browse/IT-2819440</t>
        </is>
      </c>
      <c r="G185" s="44" t="inlineStr">
        <is>
          <t>Actian client got terminated. No Action needed. FYI: https://jiraet.cotiviti.com/browse/IT-2819440</t>
        </is>
      </c>
      <c r="H185" s="107" t="inlineStr">
        <is>
          <t>Other</t>
        </is>
      </c>
      <c r="I185" s="107" t="inlineStr">
        <is>
          <t>Other</t>
        </is>
      </c>
      <c r="J185" s="107" t="inlineStr"/>
      <c r="K185" s="107" t="inlineStr">
        <is>
          <t>Closed</t>
        </is>
      </c>
      <c r="L185" s="107" t="inlineStr">
        <is>
          <t>2026-05-05</t>
        </is>
      </c>
      <c r="M185" s="107" t="inlineStr">
        <is>
          <t>2026-05-08</t>
        </is>
      </c>
      <c r="N185" s="107" t="inlineStr">
        <is>
          <t>Nile Production Support</t>
        </is>
      </c>
      <c r="O185" s="107" t="inlineStr">
        <is>
          <t>Unassigned</t>
        </is>
      </c>
      <c r="P185" s="107" t="inlineStr">
        <is>
          <t>Kamsetty, Sravani</t>
        </is>
      </c>
      <c r="Q185" s="107" t="inlineStr">
        <is>
          <t>Resolved</t>
        </is>
      </c>
      <c r="R185" s="44" t="inlineStr">
        <is>
          <t>Actian client got terminated. No Action needed. FYI: https://jiraet.cotiviti.com/browse/IT-2819440</t>
        </is>
      </c>
      <c r="S185" s="107" t="inlineStr"/>
      <c r="T185" s="107" t="inlineStr"/>
      <c r="U185" s="107" t="inlineStr"/>
      <c r="V185" s="124" t="inlineStr">
        <is>
          <t>Issue Platform</t>
        </is>
      </c>
      <c r="W185" s="107" t="inlineStr"/>
    </row>
    <row r="186">
      <c r="A186" s="109" t="inlineStr">
        <is>
          <t>IT-3034213</t>
        </is>
      </c>
      <c r="B186" s="109" t="inlineStr">
        <is>
          <t>IT-3034213</t>
        </is>
      </c>
      <c r="C186" s="109" t="inlineStr"/>
      <c r="D186" s="47" t="inlineStr">
        <is>
          <t>Missing HMSMC file from PC</t>
        </is>
      </c>
      <c r="E186" s="47" t="inlineStr">
        <is>
          <t>Hi Nile team, The below file stopped generating logs while processing. We have stopped the file from running and are waiting on further instructions from our internal teams. Can you please have the CSM reach out to the client informing them that we will process the file as soon as our internal team is done investigating? hmsmc_daily_incoming_1.05-04-2026_1320</t>
        </is>
      </c>
      <c r="F186" s="47" t="inlineStr">
        <is>
          <t>We reprocessed this file on NILE side and PC team confirmed that the resulting output file was successfully processed and returned to client on PC side.</t>
        </is>
      </c>
      <c r="G186" s="47" t="inlineStr">
        <is>
          <t>We reprocessed this file on NILE side and PC team confirmed that the resulting output file was successfully processed and returned to client on PC side.</t>
        </is>
      </c>
      <c r="H186" s="109" t="inlineStr">
        <is>
          <t>Other</t>
        </is>
      </c>
      <c r="I186" s="109" t="inlineStr">
        <is>
          <t>Other</t>
        </is>
      </c>
      <c r="J186" s="109" t="inlineStr"/>
      <c r="K186" s="109" t="inlineStr">
        <is>
          <t>Closed</t>
        </is>
      </c>
      <c r="L186" s="109" t="inlineStr">
        <is>
          <t>2026-05-04</t>
        </is>
      </c>
      <c r="M186" s="109" t="inlineStr">
        <is>
          <t>2026-05-05</t>
        </is>
      </c>
      <c r="N186" s="109" t="inlineStr">
        <is>
          <t>Nile Production Support</t>
        </is>
      </c>
      <c r="O186" s="109" t="inlineStr">
        <is>
          <t>Unassigned</t>
        </is>
      </c>
      <c r="P186" s="109" t="inlineStr">
        <is>
          <t>Daniels, Ben</t>
        </is>
      </c>
      <c r="Q186" s="109" t="inlineStr">
        <is>
          <t>Resolved</t>
        </is>
      </c>
      <c r="R186" s="47" t="inlineStr">
        <is>
          <t>We reprocessed this file on NILE side and PC team confirmed that the resulting output file was successfully processed and returned to client on PC side.</t>
        </is>
      </c>
      <c r="S186" s="109" t="inlineStr"/>
      <c r="T186" s="109" t="inlineStr"/>
      <c r="U186" s="109" t="inlineStr"/>
      <c r="V186" s="110" t="inlineStr">
        <is>
          <t>Other</t>
        </is>
      </c>
      <c r="W186" s="109" t="inlineStr">
        <is>
          <t>Yes</t>
        </is>
      </c>
    </row>
    <row r="187">
      <c r="A187" s="107" t="inlineStr">
        <is>
          <t>IT-3034078</t>
        </is>
      </c>
      <c r="B187" s="107" t="inlineStr">
        <is>
          <t>IT-3034078</t>
        </is>
      </c>
      <c r="C187" s="107" t="inlineStr"/>
      <c r="D187" s="44" t="inlineStr">
        <is>
          <t>Please re-ingest Independence claim files from November 2025.</t>
        </is>
      </c>
      <c r="E187" s="44" t="inlineStr">
        <is>
          <t>Please re-ingest Independence claim files from November 2025 into a temporary target table. Pipeline: dm-independence-ibc-actian_migration_claims Filenames: con_clm_extract_r_20251105_184051.txt con_clm_extract_r_20251112_184249.txt con_clm_extract_r_20251119_183705.txt Target Table: IndependenceDataRaw.dbo.OSCAR_Claims_Load_monthly_Nov2025</t>
        </is>
      </c>
      <c r="F187" s="44" t="inlineStr">
        <is>
          <t>The files were loaded successfully, and the user confirmed that the data is visible in the respective table.</t>
        </is>
      </c>
      <c r="G187" s="44" t="inlineStr">
        <is>
          <t>The files were loaded successfully, and the user confirmed.</t>
        </is>
      </c>
      <c r="H187" s="107" t="inlineStr">
        <is>
          <t>Other</t>
        </is>
      </c>
      <c r="I187" s="107" t="inlineStr">
        <is>
          <t>Other</t>
        </is>
      </c>
      <c r="J187" s="107" t="inlineStr"/>
      <c r="K187" s="107" t="inlineStr">
        <is>
          <t>Closed</t>
        </is>
      </c>
      <c r="L187" s="107" t="inlineStr">
        <is>
          <t>2026-05-04</t>
        </is>
      </c>
      <c r="M187" s="107" t="inlineStr">
        <is>
          <t>2026-05-05</t>
        </is>
      </c>
      <c r="N187" s="107" t="inlineStr">
        <is>
          <t>Nile Production Support</t>
        </is>
      </c>
      <c r="O187" s="107" t="inlineStr">
        <is>
          <t>Unassigned</t>
        </is>
      </c>
      <c r="P187" s="107" t="inlineStr">
        <is>
          <t>Castro, Ronald</t>
        </is>
      </c>
      <c r="Q187" s="107" t="inlineStr">
        <is>
          <t>Resolved</t>
        </is>
      </c>
      <c r="R187" s="44" t="inlineStr">
        <is>
          <t>The files were loaded successfully, and the user confirmed that the data is visible in the respective table.</t>
        </is>
      </c>
      <c r="S187" s="107" t="inlineStr"/>
      <c r="T187" s="107" t="inlineStr"/>
      <c r="U187" s="107" t="inlineStr"/>
      <c r="V187" s="113" t="inlineStr">
        <is>
          <t>Other</t>
        </is>
      </c>
      <c r="W187" s="107" t="inlineStr">
        <is>
          <t>Yes</t>
        </is>
      </c>
    </row>
    <row r="188">
      <c r="A188" s="109" t="inlineStr">
        <is>
          <t>IT-3034034</t>
        </is>
      </c>
      <c r="B188" s="109" t="inlineStr">
        <is>
          <t>IT-3034034</t>
        </is>
      </c>
      <c r="C188" s="109" t="inlineStr"/>
      <c r="D188" s="47" t="inlineStr">
        <is>
          <t>Please ingest HNJH_Claims_202603.txt and HNJH_member_202603.txt</t>
        </is>
      </c>
      <c r="E188" s="47" t="inlineStr">
        <is>
          <t>Hi Nile PS Triage team, Can you please ingest these two files? HNJH_Claims_202603.txt HNJH_member_202603.txt Client usually gave us zip files, but they sent us using .txt file today. These files are actually replacement files that we received few weeks ago, which the zip files were corrupted: HNJH_Claims_202603.zip HNJH_member_202603.zip We have been delayed for a while now for this client, so I was wondering if we could go ahead and ingest these replacement files in txt. The IT team that produces these files are new so I am not sure how long it will take if we go back to them again to have them sent as zip. This is the 3rd time they have attempted to send the files to us. Really appreciate it if we can go ahead and use these two replacement files to ingest. Thank you in advanced for your help melly</t>
        </is>
      </c>
      <c r="F188" s="47" t="inlineStr">
        <is>
          <t>Files ingested in to target tables with new pipelines: dm-bcbs-nj-horizommcd-actian_migration_mcd_member , version v1.1 dm-bcbs-nj-horizommcd-actian_migration_claims, version v1.1</t>
        </is>
      </c>
      <c r="G188" s="47" t="inlineStr">
        <is>
          <t>Files processed successfully.</t>
        </is>
      </c>
      <c r="H188" s="109" t="inlineStr">
        <is>
          <t>Other</t>
        </is>
      </c>
      <c r="I188" s="109" t="inlineStr">
        <is>
          <t>Other</t>
        </is>
      </c>
      <c r="J188" s="109" t="inlineStr"/>
      <c r="K188" s="109" t="inlineStr">
        <is>
          <t>Closed</t>
        </is>
      </c>
      <c r="L188" s="109" t="inlineStr">
        <is>
          <t>2026-05-04</t>
        </is>
      </c>
      <c r="M188" s="109" t="inlineStr">
        <is>
          <t>2026-05-06</t>
        </is>
      </c>
      <c r="N188" s="109" t="inlineStr">
        <is>
          <t>Nile Production Support</t>
        </is>
      </c>
      <c r="O188" s="109" t="inlineStr">
        <is>
          <t>Unassigned</t>
        </is>
      </c>
      <c r="P188" s="109" t="inlineStr">
        <is>
          <t>Suryani, Melly</t>
        </is>
      </c>
      <c r="Q188" s="109" t="inlineStr">
        <is>
          <t>Resolved</t>
        </is>
      </c>
      <c r="R188" s="47" t="inlineStr">
        <is>
          <t>Files ingested in to target tables with new pipelines: dm-bcbs-nj-horizommcd-actian_migration_mcd_member , version v1.1 dm-bcbs-nj-horizommcd-actian_migration_claims, version v1.1</t>
        </is>
      </c>
      <c r="S188" s="109" t="inlineStr"/>
      <c r="T188" s="109" t="inlineStr"/>
      <c r="U188" s="109" t="inlineStr"/>
      <c r="V188" s="112" t="inlineStr">
        <is>
          <t>Pipeline Schedule</t>
        </is>
      </c>
      <c r="W188" s="109" t="inlineStr"/>
    </row>
    <row r="189">
      <c r="A189" s="107" t="inlineStr">
        <is>
          <t>IT-3033313</t>
        </is>
      </c>
      <c r="B189" s="107" t="inlineStr">
        <is>
          <t>IT-3033313</t>
        </is>
      </c>
      <c r="C189" s="107" t="inlineStr"/>
      <c r="D189" s="44" t="inlineStr">
        <is>
          <t>Please help resume HCSC monthly file ingestion</t>
        </is>
      </c>
      <c r="E189" s="44" t="inlineStr">
        <is>
          <t>Please help resume HCSC monthly file ingestion a little background: according to Nile, on 4/29, HCSC send us 25 files contains exact same data as the files we recieved in 4/8. Client has confirmed we should proceed with the dataload with whatever we received on 4/29 . would you please help resume the file ingestion? Last week, i had a call with Satish and Ravi, they mentioned since 4/8’s file has been spooled, Nile cannot spool the files received on 4/28 which has the same hash code as 4/8. I have confirmed with my manager, we can proceed with copy 4/8’s file into 4/29’s folder and ingest the files like that. Please let us know if more info is needed. Thank you for your help</t>
        </is>
      </c>
      <c r="F189" s="44" t="inlineStr">
        <is>
          <t>Hi Satish/Ravi, This is related to the ticket (from Platfrom-PS group chat): [EDI2-16989] Prod - Spooler has not spooled all the files for Actian pipeline - R&amp;D Jira - WDC Joel has listed the missing files in this EDI2 ticket. Per Chao, since the 25 files are same the same as the ingestion date 4/8, can we push those 25 files that we couldn't spool to SQL table using the 4/8 files? i hope this helps. Thank you melly Good morning. Regarding the regular monthly 04/29 file processing status: I took help from Satish and copied the files from 04/08 to the 04/29 data date. We spooled 25 files into our HDFS location and initiated the process. A few pipelines failed initially, so we investigated the issues and resubmitted them. They are currently still running. I will update the status once the process is completed. After we did analysis on this ticket and resume the file process. we have completed the regular monthly standard files and got the confirmation from the user. We have resume the pipelines and spooled the missing files processed successfully.</t>
        </is>
      </c>
      <c r="G189" s="44" t="inlineStr">
        <is>
          <t>We have resume the pipelines and spooled the missing files processed successfully.</t>
        </is>
      </c>
      <c r="H189" s="107" t="inlineStr">
        <is>
          <t>Other</t>
        </is>
      </c>
      <c r="I189" s="107" t="inlineStr">
        <is>
          <t>Other</t>
        </is>
      </c>
      <c r="J189" s="107" t="inlineStr"/>
      <c r="K189" s="107" t="inlineStr">
        <is>
          <t>Closed</t>
        </is>
      </c>
      <c r="L189" s="107" t="inlineStr">
        <is>
          <t>2026-05-04</t>
        </is>
      </c>
      <c r="M189" s="107" t="inlineStr">
        <is>
          <t>2026-05-08</t>
        </is>
      </c>
      <c r="N189" s="107" t="inlineStr">
        <is>
          <t>Nile Production Support</t>
        </is>
      </c>
      <c r="O189" s="107" t="inlineStr">
        <is>
          <t>Unassigned</t>
        </is>
      </c>
      <c r="P189" s="107" t="inlineStr">
        <is>
          <t>Tang, Chao</t>
        </is>
      </c>
      <c r="Q189" s="107" t="inlineStr">
        <is>
          <t>Resolved</t>
        </is>
      </c>
      <c r="R189" s="44" t="inlineStr">
        <is>
          <t>Hi Satish/Ravi, This is related to the ticket (from Platfrom-PS group chat): [EDI2-16989] Prod - Spooler has not spooled all the files for Actian pipeline - R&amp;D Jira - WDC Joel has listed the missing files in this EDI2 ticket. Per Chao, since the 25 files are same the same as the ingestion date 4/8, can we push those 25 files that we couldn't spool to SQL table using the 4/8 files? i hope this helps. Thank you melly Good morning. Regarding the regular monthly 04/29 file processing status: I took help from Satish and copied the files from 04/08 to the 04/29 data date. We spooled 25 files into our HDFS location and initiated the process. A few pipelines failed initially, so we investigated the issues and resubmitted them. They are currently still running. I will update the status once the process is completed. After we did analysis on this ticket and resume the file process. we have completed the regular monthly standard files and got the confirmation from the user. We have resume the pipelines and spooled the missing files processed successfully.</t>
        </is>
      </c>
      <c r="S189" s="107" t="inlineStr"/>
      <c r="T189" s="107" t="inlineStr"/>
      <c r="U189" s="107" t="inlineStr"/>
      <c r="V189" s="121" t="inlineStr">
        <is>
          <t>File Issue</t>
        </is>
      </c>
      <c r="W189" s="107" t="inlineStr"/>
    </row>
    <row r="190">
      <c r="A190" s="109" t="inlineStr">
        <is>
          <t>IT-3033255</t>
        </is>
      </c>
      <c r="B190" s="109" t="inlineStr">
        <is>
          <t>IT-3033255</t>
        </is>
      </c>
      <c r="C190" s="109" t="inlineStr"/>
      <c r="D190" s="47" t="inlineStr">
        <is>
          <t>TXCHP Institutional/Professional History Files Failing 5/4/2026</t>
        </is>
      </c>
      <c r="E190" s="47" t="inlineStr">
        <is>
          <t>Hi Nile team, We have 2 files failures for TXCHP that have failed due to being out of sequence meaning it is using a sequence number that has been previously processed by another file.. Can you please ask the client if they meant to send these files as one of the files (txchp_ophistory_incoming_1.05-04-2026_1205) has not loaded into our database which means it should not be giving this kind of error as the sequence number has not been used by another file. The next available sequence numbers for both these file formats is seq# 794 for professional history files and seq# 795 for institutional history files. SEQ# 451 File Processing Information: ---------------------------------------------------------------------------------------------------- File : txchp_ophistory_incoming_1.05-04-2026_1205 QA Status : FAILED Reason : FAILED- out-of-sequence SEQ# 450 File Processing Information: ---------------------------------------------------------------------------------------------------- File : txchp_history_incoming_1.05-04-2026_1200 QA Status : FAILED Reason : FAILED- out-of-sequence</t>
        </is>
      </c>
      <c r="F190" s="47" t="inlineStr">
        <is>
          <t>Reached out to CSM to inquire with client whether or not these files are expected. If so, asked to have seq no corrected and correct file naming convention CSM confirmed with the client that the files were sent in error and can be deleted from PC side</t>
        </is>
      </c>
      <c r="G190" s="47" t="inlineStr">
        <is>
          <t>CSM confirmed with the client that the files were sent in error and can be deleted from PC side</t>
        </is>
      </c>
      <c r="H190" s="109" t="inlineStr">
        <is>
          <t>Other</t>
        </is>
      </c>
      <c r="I190" s="109" t="inlineStr">
        <is>
          <t>Other</t>
        </is>
      </c>
      <c r="J190" s="109" t="inlineStr"/>
      <c r="K190" s="109" t="inlineStr">
        <is>
          <t>Closed</t>
        </is>
      </c>
      <c r="L190" s="109" t="inlineStr">
        <is>
          <t>2026-05-04</t>
        </is>
      </c>
      <c r="M190" s="109" t="inlineStr">
        <is>
          <t>2026-05-04</t>
        </is>
      </c>
      <c r="N190" s="109" t="inlineStr">
        <is>
          <t>Nile Production Support</t>
        </is>
      </c>
      <c r="O190" s="109" t="inlineStr">
        <is>
          <t>Unassigned</t>
        </is>
      </c>
      <c r="P190" s="109" t="inlineStr">
        <is>
          <t>Daniels, Ben</t>
        </is>
      </c>
      <c r="Q190" s="109" t="inlineStr">
        <is>
          <t>Resolved</t>
        </is>
      </c>
      <c r="R190" s="47" t="inlineStr">
        <is>
          <t>Reached out to CSM to inquire with client whether or not these files are expected. If so, asked to have seq no corrected and correct file naming convention CSM confirmed with the client that the files were sent in error and can be deleted from PC side</t>
        </is>
      </c>
      <c r="S190" s="109" t="inlineStr"/>
      <c r="T190" s="109" t="inlineStr"/>
      <c r="U190" s="109" t="inlineStr"/>
      <c r="V190" s="114" t="inlineStr">
        <is>
          <t>File Issue</t>
        </is>
      </c>
      <c r="W190" s="109" t="inlineStr"/>
    </row>
    <row r="191">
      <c r="A191" s="107" t="inlineStr">
        <is>
          <t>IT-3033204</t>
        </is>
      </c>
      <c r="B191" s="107" t="inlineStr">
        <is>
          <t>IT-3033204</t>
        </is>
      </c>
      <c r="C191" s="107" t="inlineStr"/>
      <c r="D191" s="44" t="inlineStr">
        <is>
          <t>BCBS ND Raw data sample</t>
        </is>
      </c>
      <c r="E191" s="44" t="inlineStr">
        <is>
          <t>Requesting a sample of BCBS ND raw data to confirm a field is being populated and sent to us from client. CC_CUSTOM_FIELD_04 is renamed from a field we import as User095, I'd like to see where User095 is mapped from to verify that we are getting values for that field of Claims data</t>
        </is>
      </c>
      <c r="F191" s="44" t="inlineStr">
        <is>
          <t>Hi Pham, Dang AS discussed please find the details</t>
        </is>
      </c>
      <c r="G191" s="44" t="inlineStr">
        <is>
          <t>shared details</t>
        </is>
      </c>
      <c r="H191" s="107" t="inlineStr">
        <is>
          <t>Other</t>
        </is>
      </c>
      <c r="I191" s="107" t="inlineStr">
        <is>
          <t>Other</t>
        </is>
      </c>
      <c r="J191" s="107" t="inlineStr"/>
      <c r="K191" s="107" t="inlineStr">
        <is>
          <t>Closed</t>
        </is>
      </c>
      <c r="L191" s="107" t="inlineStr">
        <is>
          <t>2026-05-04</t>
        </is>
      </c>
      <c r="M191" s="107" t="inlineStr">
        <is>
          <t>2026-05-06</t>
        </is>
      </c>
      <c r="N191" s="107" t="inlineStr">
        <is>
          <t>Nile Production Support</t>
        </is>
      </c>
      <c r="O191" s="107" t="inlineStr">
        <is>
          <t>Unassigned</t>
        </is>
      </c>
      <c r="P191" s="107" t="inlineStr">
        <is>
          <t>Pham, Dang</t>
        </is>
      </c>
      <c r="Q191" s="107" t="inlineStr">
        <is>
          <t>Resolved</t>
        </is>
      </c>
      <c r="R191" s="44" t="inlineStr">
        <is>
          <t>Hi Pham, Dang AS discussed please find the details</t>
        </is>
      </c>
      <c r="S191" s="107" t="inlineStr"/>
      <c r="T191" s="107" t="inlineStr"/>
      <c r="U191" s="107" t="inlineStr"/>
      <c r="V191" s="113" t="inlineStr">
        <is>
          <t>Other</t>
        </is>
      </c>
      <c r="W191" s="107" t="inlineStr">
        <is>
          <t>Yes</t>
        </is>
      </c>
    </row>
    <row r="192">
      <c r="A192" s="109" t="inlineStr">
        <is>
          <t>IT-3032951</t>
        </is>
      </c>
      <c r="B192" s="109" t="inlineStr">
        <is>
          <t>IT-3032951</t>
        </is>
      </c>
      <c r="C192" s="109" t="inlineStr"/>
      <c r="D192" s="47" t="inlineStr">
        <is>
          <t>Copy files From Nile Prod Raw path to Nile QC Raw path - Aetna Trad</t>
        </is>
      </c>
      <c r="E192" s="47" t="inlineStr">
        <is>
          <t>Hi Team, Could you please copy the below mentioned files from the Nile PROD location to the Nile QC location? for the last week files, 04/26/2026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92" s="47" t="inlineStr"/>
      <c r="G192" s="47" t="inlineStr">
        <is>
          <t>Data Copied</t>
        </is>
      </c>
      <c r="H192" s="109" t="inlineStr">
        <is>
          <t>Other</t>
        </is>
      </c>
      <c r="I192" s="109" t="inlineStr">
        <is>
          <t>Other</t>
        </is>
      </c>
      <c r="J192" s="109" t="inlineStr"/>
      <c r="K192" s="109" t="inlineStr">
        <is>
          <t>Closed</t>
        </is>
      </c>
      <c r="L192" s="109" t="inlineStr">
        <is>
          <t>2026-05-04</t>
        </is>
      </c>
      <c r="M192" s="109" t="inlineStr">
        <is>
          <t>2026-05-04</t>
        </is>
      </c>
      <c r="N192" s="109" t="inlineStr">
        <is>
          <t>Nile Production Support</t>
        </is>
      </c>
      <c r="O192" s="109" t="inlineStr">
        <is>
          <t>Unassigned</t>
        </is>
      </c>
      <c r="P192" s="109" t="inlineStr">
        <is>
          <t>Shivalingu, Naveen</t>
        </is>
      </c>
      <c r="Q192" s="109" t="inlineStr">
        <is>
          <t>Resolved</t>
        </is>
      </c>
      <c r="R192" s="47" t="inlineStr"/>
      <c r="S192" s="109" t="inlineStr"/>
      <c r="T192" s="109" t="inlineStr"/>
      <c r="U192" s="109" t="inlineStr"/>
      <c r="V192" s="110" t="inlineStr">
        <is>
          <t>Other</t>
        </is>
      </c>
      <c r="W192" s="109" t="inlineStr">
        <is>
          <t>Yes</t>
        </is>
      </c>
    </row>
    <row r="193">
      <c r="A193" s="107" t="inlineStr">
        <is>
          <t>IT-3032822</t>
        </is>
      </c>
      <c r="B193" s="107" t="inlineStr">
        <is>
          <t>IT-3032822</t>
        </is>
      </c>
      <c r="C193" s="107" t="inlineStr"/>
      <c r="D193" s="44" t="inlineStr">
        <is>
          <t>CIGMC TBA File Failure - cigmc_daily_incoming_020051</t>
        </is>
      </c>
      <c r="E193" s="44" t="inlineStr">
        <is>
          <t>File Processing Information: ---------------------------------------------------------------------------------------------------- File : cigmc_daily_incoming_020051.05-03-2026_0315 QA Status : FAILED Reason : FAILED - Excessive failed lines (~62%)</t>
        </is>
      </c>
      <c r="F193" s="44" t="inlineStr">
        <is>
          <t>Hi Nile team, The below file has failed, please check and advise further cigmc_daily_incoming_020051 Reason : FAILED - Excessive failed lines (~62%) IT-3032822 CIGMC TBA File Failure - cigmc_daily_incoming_020051 - Service Desk Log into Atlassian - Service Desk Sent an email to the client: CIGMC :: cigmc_daily_incoming file failure :: 05/03/2026 Sent email to client, waiting for response: CIGMC :: cigmc_daily_incoming file failure :: 05/03/2026</t>
        </is>
      </c>
      <c r="G193" s="44" t="inlineStr"/>
      <c r="H193" s="107" t="inlineStr"/>
      <c r="I193" s="107" t="inlineStr"/>
      <c r="J193" s="107" t="inlineStr"/>
      <c r="K193" s="107" t="inlineStr">
        <is>
          <t>Awaiting Third Party</t>
        </is>
      </c>
      <c r="L193" s="107" t="inlineStr">
        <is>
          <t>2026-05-04</t>
        </is>
      </c>
      <c r="M193" s="107" t="inlineStr">
        <is>
          <t>2026-05-07</t>
        </is>
      </c>
      <c r="N193" s="107" t="inlineStr">
        <is>
          <t>Nile Production Support</t>
        </is>
      </c>
      <c r="O193" s="107" t="inlineStr">
        <is>
          <t>Unassigned</t>
        </is>
      </c>
      <c r="P193" s="107" t="inlineStr">
        <is>
          <t>Sonny, Varian</t>
        </is>
      </c>
      <c r="Q193" s="107" t="inlineStr">
        <is>
          <t>Unresolved</t>
        </is>
      </c>
      <c r="R193" s="44" t="inlineStr">
        <is>
          <t>Hi Nile team, The below file has failed, please check and advise further cigmc_daily_incoming_020051 Reason : FAILED - Excessive failed lines (~62%) IT-3032822 CIGMC TBA File Failure - cigmc_daily_incoming_020051 - Service Desk Log into Atlassian - Service Desk Sent an email to the client: CIGMC :: cigmc_daily_incoming file failure :: 05/03/2026 Sent email to client, waiting for response: CIGMC :: cigmc_daily_incoming file failure :: 05/03/2026</t>
        </is>
      </c>
      <c r="S193" s="107" t="inlineStr"/>
      <c r="T193" s="107" t="inlineStr"/>
      <c r="U193" s="107" t="inlineStr"/>
      <c r="V193" s="121" t="inlineStr">
        <is>
          <t>File Issue</t>
        </is>
      </c>
      <c r="W193" s="107" t="inlineStr"/>
    </row>
    <row r="194">
      <c r="A194" s="109" t="inlineStr">
        <is>
          <t>IT-3032361</t>
        </is>
      </c>
      <c r="B194" s="109" t="inlineStr">
        <is>
          <t>IT-3032361</t>
        </is>
      </c>
      <c r="C194" s="109" t="inlineStr"/>
      <c r="D194" s="47" t="inlineStr">
        <is>
          <t>CIGMC TBA File Failure 20260504</t>
        </is>
      </c>
      <c r="E194" s="47" t="inlineStr">
        <is>
          <t>File : cigmc_daily_incoming_080050.05-04-2026_0915 QA Status : FAILED Reason : FAILED - Excessive failed lines (~56%) Excessive_fails A failure due to excessive_fails indicates a file contains errors for over 50% of that file's total number of claim lines. This can be due to duplicate claim line(s) found, which indicates the file's data already exists in the production database. The client may have included this in a previous file sent and did not remove them when sending the new file or wishes for these claims to be reprocessed (which requires a request for the previous file to be wiped prior to sending / loading the new file). This can also be due to invalid data such as with Bad SUBSPEC_ID, which indicates problem with the data in file either being incorrect or not matching the correct format.</t>
        </is>
      </c>
      <c r="F194" s="47" t="inlineStr">
        <is>
          <t>Sonny, Varian , email requesting replacement file was sent yesterday. Hi Sambeg, A little correction on the source fiilename: cigmc_tba_professional_incoming_20260504_ 080050 .txt. There was a meeting with the client last Thursday 5/7 to discuss this issue. During the meeting, we discovered that the root cause was actually due to Provider ID (rendering provider id) being blank/null. Client needs to fix the provider issue. Suryani, Melly , Do I need to send a new email to the client? Email to follow: RE: files not processing at cotiviti You, or I, or anyone in Prod Support can follow up on this Thnak you melly</t>
        </is>
      </c>
      <c r="G194" s="47" t="inlineStr"/>
      <c r="H194" s="109" t="inlineStr">
        <is>
          <t>Other</t>
        </is>
      </c>
      <c r="I194" s="109" t="inlineStr">
        <is>
          <t>Other</t>
        </is>
      </c>
      <c r="J194" s="109" t="inlineStr"/>
      <c r="K194" s="109" t="inlineStr">
        <is>
          <t>In Progress (HD1)</t>
        </is>
      </c>
      <c r="L194" s="109" t="inlineStr">
        <is>
          <t>2026-05-04</t>
        </is>
      </c>
      <c r="M194" s="109" t="inlineStr">
        <is>
          <t>2026-05-18</t>
        </is>
      </c>
      <c r="N194" s="109" t="inlineStr">
        <is>
          <t>Nile Production Support</t>
        </is>
      </c>
      <c r="O194" s="109" t="inlineStr">
        <is>
          <t>Unassigned</t>
        </is>
      </c>
      <c r="P194" s="109" t="inlineStr">
        <is>
          <t>Sonny, Varian</t>
        </is>
      </c>
      <c r="Q194" s="109" t="inlineStr">
        <is>
          <t>Unresolved</t>
        </is>
      </c>
      <c r="R194" s="47" t="inlineStr">
        <is>
          <t>Sonny, Varian , email requesting replacement file was sent yesterday. Hi Sambeg, A little correction on the source fiilename: cigmc_tba_professional_incoming_20260504_ 080050 .txt. There was a meeting with the client last Thursday 5/7 to discuss this issue. During the meeting, we discovered that the root cause was actually due to Provider ID (rendering provider id) being blank/null. Client needs to fix the provider issue. Suryani, Melly , Do I need to send a new email to the client? Email to follow: RE: files not processing at cotiviti You, or I, or anyone in Prod Support can follow up on this Thnak you melly</t>
        </is>
      </c>
      <c r="S194" s="109" t="inlineStr"/>
      <c r="T194" s="109" t="inlineStr"/>
      <c r="U194" s="109" t="inlineStr"/>
      <c r="V194" s="114" t="inlineStr">
        <is>
          <t>File Issue</t>
        </is>
      </c>
      <c r="W194" s="109" t="inlineStr"/>
    </row>
    <row r="195">
      <c r="A195" s="107" t="inlineStr">
        <is>
          <t>IT-3032321</t>
        </is>
      </c>
      <c r="B195" s="107" t="inlineStr">
        <is>
          <t>IT-3032321</t>
        </is>
      </c>
      <c r="C195" s="107" t="inlineStr"/>
      <c r="D195" s="44" t="inlineStr">
        <is>
          <t>UHC Cosmos - Historical load file COSMOS_FACL_CONTRACT_CATEGORY_OUT_HIST_APR26.txt</t>
        </is>
      </c>
      <c r="E195" s="44" t="inlineStr">
        <is>
          <t>Hello Nile Team, We have received a historical file ‘COSMOS_FACL_CONTRACT_CATEGORY_OUT_HIST_APR26.txt’. Cloud you please ingest the file into SQL table [UhCosmosDataRaw] . [dbo] . [CosmosFaclContractCategory_Holding_History_Apr26] in DC-Pine? Thanks, Priya</t>
        </is>
      </c>
      <c r="F195" s="44" t="inlineStr"/>
      <c r="G195" s="44" t="inlineStr">
        <is>
          <t>Completed the ingestion of the HISTORY file to the adhoc SQL table</t>
        </is>
      </c>
      <c r="H195" s="107" t="inlineStr">
        <is>
          <t>Other</t>
        </is>
      </c>
      <c r="I195" s="107" t="inlineStr">
        <is>
          <t>Other</t>
        </is>
      </c>
      <c r="J195" s="107" t="inlineStr"/>
      <c r="K195" s="107" t="inlineStr">
        <is>
          <t>Closed</t>
        </is>
      </c>
      <c r="L195" s="107" t="inlineStr">
        <is>
          <t>2026-05-04</t>
        </is>
      </c>
      <c r="M195" s="107" t="inlineStr">
        <is>
          <t>2026-05-05</t>
        </is>
      </c>
      <c r="N195" s="107" t="inlineStr">
        <is>
          <t>Nile Production Support</t>
        </is>
      </c>
      <c r="O195" s="107" t="inlineStr">
        <is>
          <t>Unassigned</t>
        </is>
      </c>
      <c r="P195" s="107" t="inlineStr">
        <is>
          <t>Dongol, Priya</t>
        </is>
      </c>
      <c r="Q195" s="107" t="inlineStr">
        <is>
          <t>Resolved</t>
        </is>
      </c>
      <c r="R195" s="44" t="inlineStr"/>
      <c r="S195" s="107" t="inlineStr"/>
      <c r="T195" s="107" t="inlineStr"/>
      <c r="U195" s="107" t="inlineStr"/>
      <c r="V195" s="108" t="inlineStr">
        <is>
          <t>DB Issue</t>
        </is>
      </c>
      <c r="W195" s="107" t="inlineStr"/>
    </row>
    <row r="196">
      <c r="A196" s="109" t="inlineStr">
        <is>
          <t>IT-3032294</t>
        </is>
      </c>
      <c r="B196" s="109" t="inlineStr">
        <is>
          <t>IT-3032294</t>
        </is>
      </c>
      <c r="C196" s="109" t="inlineStr"/>
      <c r="D196" s="47" t="inlineStr">
        <is>
          <t>UHC Cosmos - Layout Update in COSMOS_FACL_CONTRACT_CATEGORY_OUT_&lt;&gt;.txt.gz.pgp</t>
        </is>
      </c>
      <c r="E196" s="47" t="inlineStr">
        <is>
          <t>Hello Nile Team, We have a layout update in file ‘COSMOS_FACL_CONTRACT_CATEGORY_OUT_&lt;&gt;’. Client has added new column ‘FL_MNT_DT’ at the end which is a Date field. We haven’t yet received the latest data dictionary. However, could you please help make updates in the pipeline so that we can ingest the file we received on 04/30. I have updated the SQL raw staging table ‘UhCosmosDataRaw.dbo.CosmosFaclContractCategory_Holding’ and added field ‘FlMntDT’. Pipeline Name : prod - dm-uhc-cosmos-actian_migration_cosmosfaclcontractcategory Thanks, Priya</t>
        </is>
      </c>
      <c r="F196" s="47" t="inlineStr"/>
      <c r="G196" s="47" t="inlineStr">
        <is>
          <t>File sloaded</t>
        </is>
      </c>
      <c r="H196" s="109" t="inlineStr">
        <is>
          <t>Other</t>
        </is>
      </c>
      <c r="I196" s="109" t="inlineStr">
        <is>
          <t>Other</t>
        </is>
      </c>
      <c r="J196" s="109" t="inlineStr"/>
      <c r="K196" s="109" t="inlineStr">
        <is>
          <t>Closed</t>
        </is>
      </c>
      <c r="L196" s="109" t="inlineStr">
        <is>
          <t>2026-05-04</t>
        </is>
      </c>
      <c r="M196" s="109" t="inlineStr">
        <is>
          <t>2026-05-04</t>
        </is>
      </c>
      <c r="N196" s="109" t="inlineStr">
        <is>
          <t>Nile Production Support</t>
        </is>
      </c>
      <c r="O196" s="109" t="inlineStr">
        <is>
          <t>Unassigned</t>
        </is>
      </c>
      <c r="P196" s="109" t="inlineStr">
        <is>
          <t>Dongol, Priya</t>
        </is>
      </c>
      <c r="Q196" s="109" t="inlineStr">
        <is>
          <t>Resolved</t>
        </is>
      </c>
      <c r="R196" s="47" t="inlineStr"/>
      <c r="S196" s="109" t="inlineStr"/>
      <c r="T196" s="109" t="inlineStr"/>
      <c r="U196" s="109" t="inlineStr"/>
      <c r="V196" s="116" t="inlineStr">
        <is>
          <t>Schema issue</t>
        </is>
      </c>
      <c r="W196" s="109" t="inlineStr"/>
    </row>
    <row r="197">
      <c r="A197" s="107" t="inlineStr">
        <is>
          <t>IT-3032175</t>
        </is>
      </c>
      <c r="B197" s="107" t="inlineStr">
        <is>
          <t>IT-3032175</t>
        </is>
      </c>
      <c r="C197" s="107" t="inlineStr"/>
      <c r="D197" s="44" t="inlineStr">
        <is>
          <t>OLA Discussion</t>
        </is>
      </c>
      <c r="E197" s="44" t="inlineStr">
        <is>
          <t>OLA Discussions to keep track efforts on the same.</t>
        </is>
      </c>
      <c r="F197" s="44" t="inlineStr">
        <is>
          <t>Yet to work on other configs.</t>
        </is>
      </c>
      <c r="G197" s="44" t="inlineStr"/>
      <c r="H197" s="107" t="inlineStr">
        <is>
          <t>Other</t>
        </is>
      </c>
      <c r="I197" s="107" t="inlineStr">
        <is>
          <t>Other</t>
        </is>
      </c>
      <c r="J197" s="107" t="inlineStr"/>
      <c r="K197" s="107" t="inlineStr">
        <is>
          <t>On Hold</t>
        </is>
      </c>
      <c r="L197" s="107" t="inlineStr">
        <is>
          <t>2026-05-04</t>
        </is>
      </c>
      <c r="M197" s="107" t="inlineStr">
        <is>
          <t>2026-05-22</t>
        </is>
      </c>
      <c r="N197" s="107" t="inlineStr">
        <is>
          <t>Nile Production Support</t>
        </is>
      </c>
      <c r="O197" s="107" t="inlineStr">
        <is>
          <t>Unassigned</t>
        </is>
      </c>
      <c r="P197" s="107" t="inlineStr">
        <is>
          <t>Jani, Shaik</t>
        </is>
      </c>
      <c r="Q197" s="107" t="inlineStr">
        <is>
          <t>Unresolved</t>
        </is>
      </c>
      <c r="R197" s="44" t="inlineStr">
        <is>
          <t>Yet to work on other configs.</t>
        </is>
      </c>
      <c r="S197" s="107" t="inlineStr"/>
      <c r="T197" s="107" t="inlineStr"/>
      <c r="U197" s="107" t="inlineStr"/>
      <c r="V197" s="113" t="inlineStr">
        <is>
          <t>Other</t>
        </is>
      </c>
      <c r="W197" s="107" t="inlineStr">
        <is>
          <t>Yes</t>
        </is>
      </c>
    </row>
    <row r="198">
      <c r="A198" s="109" t="inlineStr">
        <is>
          <t>IT-3032030</t>
        </is>
      </c>
      <c r="B198" s="109" t="inlineStr">
        <is>
          <t>IT-3032030</t>
        </is>
      </c>
      <c r="C198" s="109" t="inlineStr"/>
      <c r="D198" s="47" t="inlineStr">
        <is>
          <t>Aetna-accent spooler is unable to spool the file</t>
        </is>
      </c>
      <c r="E198" s="47" t="inlineStr">
        <is>
          <t>Below Spooler is unable to spool the file: accentsep-aetna-teamsters-2k-extract file available in t2 server: 2k_extract.txt Pipeline that processes above file: accent-separation-aetna-teamsters-2k-extract</t>
        </is>
      </c>
      <c r="F198" s="47" t="inlineStr">
        <is>
          <t>File spooling issue from NAS drop box. Worked with MFT team and seems files has been transferred from t2 to NAS drop box. And having issue while spooling from NAS to NILE. Krishna helped to spool the file and file spooled and processed successfully.</t>
        </is>
      </c>
      <c r="G198" s="47" t="inlineStr">
        <is>
          <t>File spooled and processed successfully.</t>
        </is>
      </c>
      <c r="H198" s="109" t="inlineStr">
        <is>
          <t>Other</t>
        </is>
      </c>
      <c r="I198" s="109" t="inlineStr">
        <is>
          <t>Other</t>
        </is>
      </c>
      <c r="J198" s="109" t="inlineStr"/>
      <c r="K198" s="109" t="inlineStr">
        <is>
          <t>Closed</t>
        </is>
      </c>
      <c r="L198" s="109" t="inlineStr">
        <is>
          <t>2026-05-04</t>
        </is>
      </c>
      <c r="M198" s="109" t="inlineStr">
        <is>
          <t>2026-05-06</t>
        </is>
      </c>
      <c r="N198" s="109" t="inlineStr">
        <is>
          <t>Nile Production Support</t>
        </is>
      </c>
      <c r="O198" s="109" t="inlineStr">
        <is>
          <t>Unassigned</t>
        </is>
      </c>
      <c r="P198" s="109" t="inlineStr">
        <is>
          <t>Kandel, Amik</t>
        </is>
      </c>
      <c r="Q198" s="109" t="inlineStr">
        <is>
          <t>Resolved</t>
        </is>
      </c>
      <c r="R198" s="47" t="inlineStr">
        <is>
          <t>File spooling issue from NAS drop box. Worked with MFT team and seems files has been transferred from t2 to NAS drop box. And having issue while spooling from NAS to NILE. Krishna helped to spool the file and file spooled and processed successfully.</t>
        </is>
      </c>
      <c r="S198" s="109" t="inlineStr"/>
      <c r="T198" s="109" t="inlineStr"/>
      <c r="U198" s="109" t="inlineStr"/>
      <c r="V198" s="120" t="inlineStr">
        <is>
          <t>Spooler issue</t>
        </is>
      </c>
      <c r="W198" s="109" t="inlineStr"/>
    </row>
    <row r="199">
      <c r="A199" s="107" t="inlineStr">
        <is>
          <t>IT-3031967</t>
        </is>
      </c>
      <c r="B199" s="107" t="inlineStr">
        <is>
          <t>IT-3031967</t>
        </is>
      </c>
      <c r="C199" s="107" t="inlineStr"/>
      <c r="D199" s="44" t="inlineStr">
        <is>
          <t>Peer Review for BCBS_MI_BCN BMC pipeline Optimization</t>
        </is>
      </c>
      <c r="E199" s="44"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199" s="44" t="inlineStr">
        <is>
          <t>Verified the trigger_bmc_workflow-bcbsmi_bcn_monthly pipelines, all child pipelines are published, and the prechecks have been updated to Latest. We can proceed with publishing and scheduling the BMC pipeline.</t>
        </is>
      </c>
      <c r="G199" s="44" t="inlineStr">
        <is>
          <t>We can proceed with publishing and scheduling the BMC pipeline.</t>
        </is>
      </c>
      <c r="H199" s="107" t="inlineStr">
        <is>
          <t>Other</t>
        </is>
      </c>
      <c r="I199" s="107" t="inlineStr">
        <is>
          <t>Other</t>
        </is>
      </c>
      <c r="J199" s="107" t="inlineStr"/>
      <c r="K199" s="107" t="inlineStr">
        <is>
          <t>Closed</t>
        </is>
      </c>
      <c r="L199" s="107" t="inlineStr">
        <is>
          <t>2026-05-04</t>
        </is>
      </c>
      <c r="M199" s="107" t="inlineStr">
        <is>
          <t>2026-05-04</t>
        </is>
      </c>
      <c r="N199" s="107" t="inlineStr">
        <is>
          <t>Nile Production Support</t>
        </is>
      </c>
      <c r="O199" s="107" t="inlineStr">
        <is>
          <t>Unassigned</t>
        </is>
      </c>
      <c r="P199" s="107" t="inlineStr">
        <is>
          <t>Kamsetty, Sravani</t>
        </is>
      </c>
      <c r="Q199" s="107" t="inlineStr">
        <is>
          <t>Done</t>
        </is>
      </c>
      <c r="R199" s="44" t="inlineStr">
        <is>
          <t>Verified the trigger_bmc_workflow-bcbsmi_bcn_monthly pipelines, all child pipelines are published, and the prechecks have been updated to Latest. We can proceed with publishing and scheduling the BMC pipeline.</t>
        </is>
      </c>
      <c r="S199" s="107" t="inlineStr"/>
      <c r="T199" s="107" t="inlineStr"/>
      <c r="U199" s="107" t="inlineStr"/>
      <c r="V199" s="111" t="inlineStr">
        <is>
          <t>Pipeline Schedule</t>
        </is>
      </c>
      <c r="W199" s="107" t="inlineStr"/>
    </row>
    <row r="200">
      <c r="A200" s="109" t="inlineStr">
        <is>
          <t>IT-3031246</t>
        </is>
      </c>
      <c r="B200" s="109" t="inlineStr">
        <is>
          <t>IT-3031246</t>
        </is>
      </c>
      <c r="C200" s="109" t="inlineStr"/>
      <c r="D200" s="47" t="inlineStr">
        <is>
          <t>Aetna RCE C20 file ingestion issue(05/01) file</t>
        </is>
      </c>
      <c r="E200" s="47" t="inlineStr">
        <is>
          <t>Hello Nile team , Aetna RCE C20 seems to have an ingestion issue. There is data in the raw files but after ingestion all values are ‘Null’ in the SQL table. Counts match though . C10 and D10 files were ingested successfully. Could someone please take a look into this? Thanks, Teena.</t>
        </is>
      </c>
      <c r="F200" s="47" t="inlineStr"/>
      <c r="G200" s="47" t="inlineStr"/>
      <c r="H200" s="109" t="inlineStr"/>
      <c r="I200" s="109" t="inlineStr"/>
      <c r="J200" s="109" t="inlineStr"/>
      <c r="K200" s="109" t="inlineStr">
        <is>
          <t>Active</t>
        </is>
      </c>
      <c r="L200" s="109" t="inlineStr">
        <is>
          <t>2026-05-04</t>
        </is>
      </c>
      <c r="M200" s="109" t="inlineStr">
        <is>
          <t>2026-05-04</t>
        </is>
      </c>
      <c r="N200" s="109" t="inlineStr">
        <is>
          <t>Nile Production Support</t>
        </is>
      </c>
      <c r="O200" s="109" t="inlineStr">
        <is>
          <t>Unassigned</t>
        </is>
      </c>
      <c r="P200" s="109" t="inlineStr">
        <is>
          <t>Vandanath, Teena</t>
        </is>
      </c>
      <c r="Q200" s="109" t="inlineStr">
        <is>
          <t>Unresolved</t>
        </is>
      </c>
      <c r="R200" s="47" t="inlineStr"/>
      <c r="S200" s="109" t="inlineStr"/>
      <c r="T200" s="109" t="inlineStr"/>
      <c r="U200" s="109" t="inlineStr"/>
      <c r="V200" s="114" t="inlineStr">
        <is>
          <t>File Issue</t>
        </is>
      </c>
      <c r="W200" s="109" t="inlineStr"/>
    </row>
    <row r="201">
      <c r="A201" s="107" t="inlineStr">
        <is>
          <t>IT-3030796</t>
        </is>
      </c>
      <c r="B201" s="107" t="inlineStr">
        <is>
          <t>IT-3030796</t>
        </is>
      </c>
      <c r="C201" s="107" t="inlineStr"/>
      <c r="D201" s="44" t="inlineStr">
        <is>
          <t>Aetna RCE Control M not triggered on 05/02 and 05/03 (time sensitive)</t>
        </is>
      </c>
      <c r="E201" s="44" t="inlineStr">
        <is>
          <t>Nile team , Aetna RCE Control M process was not triggered for 05/02 and 05/03. Could someone please take a look into this issue? Control M flow names :-CHC_AETNA_DLY_RCEDailyLoad_From_Script_NILE Thanks, Teena.</t>
        </is>
      </c>
      <c r="F201" s="44" t="inlineStr">
        <is>
          <t>this is the issue all c10, c20 and d10 failed chcking why they failed</t>
        </is>
      </c>
      <c r="G201" s="44" t="inlineStr"/>
      <c r="H201" s="107" t="inlineStr"/>
      <c r="I201" s="107" t="inlineStr"/>
      <c r="J201" s="107" t="inlineStr"/>
      <c r="K201" s="107" t="inlineStr">
        <is>
          <t>Active</t>
        </is>
      </c>
      <c r="L201" s="107" t="inlineStr">
        <is>
          <t>2026-05-03</t>
        </is>
      </c>
      <c r="M201" s="107" t="inlineStr">
        <is>
          <t>2026-05-04</t>
        </is>
      </c>
      <c r="N201" s="107" t="inlineStr">
        <is>
          <t>Nile Production Support</t>
        </is>
      </c>
      <c r="O201" s="107" t="inlineStr">
        <is>
          <t>Unassigned</t>
        </is>
      </c>
      <c r="P201" s="107" t="inlineStr">
        <is>
          <t>Vandanath, Teena</t>
        </is>
      </c>
      <c r="Q201" s="107" t="inlineStr">
        <is>
          <t>Unresolved</t>
        </is>
      </c>
      <c r="R201" s="44" t="inlineStr">
        <is>
          <t>this is the issue all c10, c20 and d10 failed chcking why they failed</t>
        </is>
      </c>
      <c r="S201" s="107" t="inlineStr"/>
      <c r="T201" s="107" t="inlineStr"/>
      <c r="U201" s="107" t="inlineStr"/>
      <c r="V201" s="111" t="inlineStr">
        <is>
          <t>Pipeline Schedule</t>
        </is>
      </c>
      <c r="W201" s="107" t="inlineStr"/>
    </row>
    <row r="202">
      <c r="A202" s="109" t="inlineStr">
        <is>
          <t>IT-3030103</t>
        </is>
      </c>
      <c r="B202" s="109" t="inlineStr">
        <is>
          <t>IT-3030103</t>
        </is>
      </c>
      <c r="C202" s="109" t="inlineStr"/>
      <c r="D202" s="47" t="inlineStr">
        <is>
          <t>Unable to process empty files in production for backsweep files</t>
        </is>
      </c>
      <c r="E202" s="47" t="inlineStr">
        <is>
          <t>Nile platform is having an issue with processing empty files for production backsweep. this is causing the files to have to be manually processed. For Astrana health there are currently 129+ files in the queue.</t>
        </is>
      </c>
      <c r="F202" s="47" t="inlineStr">
        <is>
          <t>Contacted user from teams, User reported for Nile processing and user requested to addressed by the Nile Platform team, User is trying to access the client files, which are unable to processing through Nile, please check with user and assist. This will be addressed as part of [DIP-38661] Unable to process empty files in production for backsweep files - R&amp;D Jira - WDC Nileproduction support doesn't handle platform issues.</t>
        </is>
      </c>
      <c r="G202" s="47" t="inlineStr"/>
      <c r="H202" s="109" t="inlineStr"/>
      <c r="I202" s="109" t="inlineStr"/>
      <c r="J202" s="109" t="inlineStr"/>
      <c r="K202" s="109" t="inlineStr">
        <is>
          <t>Cancelled</t>
        </is>
      </c>
      <c r="L202" s="109" t="inlineStr">
        <is>
          <t>2026-05-02</t>
        </is>
      </c>
      <c r="M202" s="109" t="inlineStr">
        <is>
          <t>2026-05-04</t>
        </is>
      </c>
      <c r="N202" s="109" t="inlineStr">
        <is>
          <t>Nile Production Support</t>
        </is>
      </c>
      <c r="O202" s="109" t="inlineStr">
        <is>
          <t>Unassigned</t>
        </is>
      </c>
      <c r="P202" s="109" t="inlineStr">
        <is>
          <t>Janosik, Nancy</t>
        </is>
      </c>
      <c r="Q202" s="109" t="inlineStr">
        <is>
          <t>Cancelled</t>
        </is>
      </c>
      <c r="R202" s="47" t="inlineStr">
        <is>
          <t>Contacted user from teams, User reported for Nile processing and user requested to addressed by the Nile Platform team, User is trying to access the client files, which are unable to processing through Nile, please check with user and assist. This will be addressed as part of [DIP-38661] Unable to process empty files in production for backsweep files - R&amp;D Jira - WDC Nileproduction support doesn't handle platform issues.</t>
        </is>
      </c>
      <c r="S202" s="109" t="inlineStr"/>
      <c r="T202" s="109" t="inlineStr"/>
      <c r="U202" s="109" t="inlineStr"/>
      <c r="V202" s="122" t="inlineStr">
        <is>
          <t>Issue Platform</t>
        </is>
      </c>
      <c r="W202" s="109" t="inlineStr"/>
    </row>
    <row r="203">
      <c r="A203" s="107" t="inlineStr">
        <is>
          <t>IT-3029195</t>
        </is>
      </c>
      <c r="B203" s="107" t="inlineStr">
        <is>
          <t>IT-3029195</t>
        </is>
      </c>
      <c r="C203" s="107" t="inlineStr"/>
      <c r="D203" s="44" t="inlineStr">
        <is>
          <t>Texas Children Health Plan RCCV Prod Transition Documents Review</t>
        </is>
      </c>
      <c r="E203" s="44" t="inlineStr">
        <is>
          <t>Please review the prod transition checklist documents for Texas Children Health Plan RCCV and let us know if any changes are needed. Creating this ticket as a placeholder. Will update ticket with document links once complete.</t>
        </is>
      </c>
      <c r="F203" s="44" t="inlineStr">
        <is>
          <t>Awaiting documents Checklist: https://cotiviti.sharepoint.com/:w:/r/sites/EDMEngineeringTeam/_layouts/15/Doc.aspx?sourcedoc=%7B8A09E507-C822-442B-9DC8-FA13FAB6DB11%7D&amp;file=TCHP_RCCV_DataIngestion_Production_Job_Transition_Checklist.docx&amp;action=default&amp;mobileredirect=true Escalation Doc: https://cotiviti.sharepoint.com/:x:/r/sites/EDMEngineeringTeam/_layouts/15/Doc.aspx?sourcedoc=%7BE499C4CC-DA7C-483A-A8D1-A082D5C9F2D7%7D&amp;file=TCHP%20Data%20Escalation%20Plan%2020260507.xlsx&amp;action=default&amp;mobileredirect=true</t>
        </is>
      </c>
      <c r="G203" s="44" t="inlineStr"/>
      <c r="H203" s="107" t="inlineStr">
        <is>
          <t>Other</t>
        </is>
      </c>
      <c r="I203" s="107" t="inlineStr">
        <is>
          <t>Other</t>
        </is>
      </c>
      <c r="J203" s="107" t="inlineStr"/>
      <c r="K203" s="107" t="inlineStr">
        <is>
          <t>On Hold</t>
        </is>
      </c>
      <c r="L203" s="107" t="inlineStr">
        <is>
          <t>2026-05-01</t>
        </is>
      </c>
      <c r="M203" s="107" t="inlineStr">
        <is>
          <t>2026-05-21</t>
        </is>
      </c>
      <c r="N203" s="107" t="inlineStr">
        <is>
          <t>Nile Production Support</t>
        </is>
      </c>
      <c r="O203" s="107" t="inlineStr">
        <is>
          <t>Unassigned</t>
        </is>
      </c>
      <c r="P203" s="107" t="inlineStr">
        <is>
          <t>Malmgren, Natalie</t>
        </is>
      </c>
      <c r="Q203" s="107" t="inlineStr">
        <is>
          <t>Unresolved</t>
        </is>
      </c>
      <c r="R203" s="44" t="inlineStr">
        <is>
          <t>Awaiting documents Checklist: https://cotiviti.sharepoint.com/:w:/r/sites/EDMEngineeringTeam/_layouts/15/Doc.aspx?sourcedoc=%7B8A09E507-C822-442B-9DC8-FA13FAB6DB11%7D&amp;file=TCHP_RCCV_DataIngestion_Production_Job_Transition_Checklist.docx&amp;action=default&amp;mobileredirect=true Escalation Doc: https://cotiviti.sharepoint.com/:x:/r/sites/EDMEngineeringTeam/_layouts/15/Doc.aspx?sourcedoc=%7BE499C4CC-DA7C-483A-A8D1-A082D5C9F2D7%7D&amp;file=TCHP%20Data%20Escalation%20Plan%2020260507.xlsx&amp;action=default&amp;mobileredirect=true</t>
        </is>
      </c>
      <c r="S203" s="107" t="inlineStr"/>
      <c r="T203" s="107" t="inlineStr"/>
      <c r="U203" s="107" t="inlineStr"/>
      <c r="V203" s="113" t="inlineStr">
        <is>
          <t>Other</t>
        </is>
      </c>
      <c r="W203" s="107" t="inlineStr">
        <is>
          <t>Yes</t>
        </is>
      </c>
    </row>
    <row r="204">
      <c r="A204" s="109" t="inlineStr">
        <is>
          <t>IT-3029187</t>
        </is>
      </c>
      <c r="B204" s="109" t="inlineStr">
        <is>
          <t>IT-3029187</t>
        </is>
      </c>
      <c r="C204" s="109" t="inlineStr"/>
      <c r="D204" s="47" t="inlineStr">
        <is>
          <t>Please review the updated escalation Plan - Triple S</t>
        </is>
      </c>
      <c r="E204" s="47" t="inlineStr">
        <is>
          <t>Hi Jani, Would you mind reviewing this ticket from Sara? It is assigned and completed by PC team, but there is an excel sheet inside that ticket. We probably will need to update our escalation too? thank you Jani, melly [IT-3029025] Updated Triple S escalation plan - Service Desk</t>
        </is>
      </c>
      <c r="F204" s="47" t="inlineStr"/>
      <c r="G204" s="47" t="inlineStr">
        <is>
          <t>Respective items have been addressed.</t>
        </is>
      </c>
      <c r="H204" s="109" t="inlineStr">
        <is>
          <t>Other</t>
        </is>
      </c>
      <c r="I204" s="109" t="inlineStr">
        <is>
          <t>Other</t>
        </is>
      </c>
      <c r="J204" s="109" t="inlineStr"/>
      <c r="K204" s="109" t="inlineStr">
        <is>
          <t>Closed</t>
        </is>
      </c>
      <c r="L204" s="109" t="inlineStr">
        <is>
          <t>2026-05-01</t>
        </is>
      </c>
      <c r="M204" s="109" t="inlineStr">
        <is>
          <t>2026-05-05</t>
        </is>
      </c>
      <c r="N204" s="109" t="inlineStr">
        <is>
          <t>Nile Production Support</t>
        </is>
      </c>
      <c r="O204" s="109" t="inlineStr">
        <is>
          <t>Unassigned</t>
        </is>
      </c>
      <c r="P204" s="109" t="inlineStr">
        <is>
          <t>Suryani, Melly</t>
        </is>
      </c>
      <c r="Q204" s="109" t="inlineStr">
        <is>
          <t>Resolved</t>
        </is>
      </c>
      <c r="R204" s="47" t="inlineStr"/>
      <c r="S204" s="109" t="inlineStr"/>
      <c r="T204" s="109" t="inlineStr"/>
      <c r="U204" s="109" t="inlineStr"/>
      <c r="V204" s="110" t="inlineStr">
        <is>
          <t>Other</t>
        </is>
      </c>
      <c r="W204" s="109" t="inlineStr">
        <is>
          <t>Yes</t>
        </is>
      </c>
    </row>
    <row r="205">
      <c r="A205" s="107" t="inlineStr">
        <is>
          <t>IT-3029172</t>
        </is>
      </c>
      <c r="B205" s="107" t="inlineStr">
        <is>
          <t>IT-3029172</t>
        </is>
      </c>
      <c r="C205" s="107" t="inlineStr"/>
      <c r="D205" s="44" t="inlineStr">
        <is>
          <t>Raw data - eligibility data needed for specific members for three clients - HCSC - HAMP - Cigna</t>
        </is>
      </c>
      <c r="E205" s="44" t="inlineStr">
        <is>
          <t>Because we are fulfilling a research request, please share the raw data from eligibility file for the given CnlymemberIds in the attachment</t>
        </is>
      </c>
      <c r="F205" s="44" t="inlineStr">
        <is>
          <t>! {05DD23D8-46F4-43C1-ACCE-3FAEA9D80DA1} .png|thumbnail! Need Monday May 4, 2026 Shared the details with Ray, Mita Thanks Satish Devatha</t>
        </is>
      </c>
      <c r="G205" s="44" t="inlineStr">
        <is>
          <t>Shared the details as requested</t>
        </is>
      </c>
      <c r="H205" s="107" t="inlineStr">
        <is>
          <t>Other</t>
        </is>
      </c>
      <c r="I205" s="107" t="inlineStr">
        <is>
          <t>Other</t>
        </is>
      </c>
      <c r="J205" s="107" t="inlineStr"/>
      <c r="K205" s="107" t="inlineStr">
        <is>
          <t>Closed</t>
        </is>
      </c>
      <c r="L205" s="107" t="inlineStr">
        <is>
          <t>2026-05-01</t>
        </is>
      </c>
      <c r="M205" s="107" t="inlineStr">
        <is>
          <t>2026-05-12</t>
        </is>
      </c>
      <c r="N205" s="107" t="inlineStr">
        <is>
          <t>Nile Production Support</t>
        </is>
      </c>
      <c r="O205" s="107" t="inlineStr">
        <is>
          <t>Unassigned</t>
        </is>
      </c>
      <c r="P205" s="107" t="inlineStr">
        <is>
          <t>Ray, Mita</t>
        </is>
      </c>
      <c r="Q205" s="107" t="inlineStr">
        <is>
          <t>Resolved</t>
        </is>
      </c>
      <c r="R205" s="44" t="inlineStr">
        <is>
          <t>! {05DD23D8-46F4-43C1-ACCE-3FAEA9D80DA1} .png|thumbnail! Need Monday May 4, 2026 Shared the details with Ray, Mita Thanks Satish Devatha</t>
        </is>
      </c>
      <c r="S205" s="107" t="inlineStr"/>
      <c r="T205" s="107" t="inlineStr"/>
      <c r="U205" s="107" t="inlineStr"/>
      <c r="V205" s="113" t="inlineStr">
        <is>
          <t>Other</t>
        </is>
      </c>
      <c r="W205" s="107" t="inlineStr">
        <is>
          <t>Yes</t>
        </is>
      </c>
    </row>
    <row r="206">
      <c r="A206" s="109" t="inlineStr">
        <is>
          <t>IT-3029129</t>
        </is>
      </c>
      <c r="B206" s="109" t="inlineStr">
        <is>
          <t>IT-3029129</t>
        </is>
      </c>
      <c r="C206" s="109" t="inlineStr"/>
      <c r="D206" s="47" t="inlineStr">
        <is>
          <t>Humana PPM Prod Transition Documents Review</t>
        </is>
      </c>
      <c r="E206" s="47" t="inlineStr">
        <is>
          <t>Please review the prod transition checklist documents for Humana PPM and let us know if any changes are needed. Creating this ticket as a placeholder. Will update ticket with document links once complete.</t>
        </is>
      </c>
      <c r="F206" s="47" t="inlineStr">
        <is>
          <t>Awaiting documents. Checklist: https://cotiviti.sharepoint.com/:w:/r/sites/EDMEngineeringTeam/_layouts/15/Doc.aspx?sourcedoc=%7BB490FDCD-F34A-4AEC-BCD7-216CD30E7A91%7D&amp;file=Humana_PPM_DataIngestion_Production_Job_Transition_Checklist.docx&amp;action=default&amp;mobileredirect=true Escalation doc: https://cotiviti.sharepoint.com/:w:/r/sites/EDMEngineeringTeam/_layouts/15/Doc.aspx?sourcedoc=%7B1954C877-DE8A-469D-98D3-D139ACA29530%7D&amp;file=Humana%20Cotiviti%20PCA%20Escalation%20Plan%20Update%204.27.2026.docx&amp;action=default&amp;mobileredirect=true As noted via email, there are still a few pending items and I will send an update once those are complete. Awaiting Live files and full transition.</t>
        </is>
      </c>
      <c r="G206" s="47" t="inlineStr"/>
      <c r="H206" s="109" t="inlineStr">
        <is>
          <t>Other</t>
        </is>
      </c>
      <c r="I206" s="109" t="inlineStr">
        <is>
          <t>Other</t>
        </is>
      </c>
      <c r="J206" s="109" t="inlineStr"/>
      <c r="K206" s="109" t="inlineStr">
        <is>
          <t>On Hold</t>
        </is>
      </c>
      <c r="L206" s="109" t="inlineStr">
        <is>
          <t>2026-05-01</t>
        </is>
      </c>
      <c r="M206" s="109" t="inlineStr">
        <is>
          <t>2026-05-14</t>
        </is>
      </c>
      <c r="N206" s="109" t="inlineStr">
        <is>
          <t>Nile Production Support</t>
        </is>
      </c>
      <c r="O206" s="109" t="inlineStr">
        <is>
          <t>Unassigned</t>
        </is>
      </c>
      <c r="P206" s="109" t="inlineStr">
        <is>
          <t>Malmgren, Natalie</t>
        </is>
      </c>
      <c r="Q206" s="109" t="inlineStr">
        <is>
          <t>Unresolved</t>
        </is>
      </c>
      <c r="R206" s="47" t="inlineStr">
        <is>
          <t>Awaiting documents. Checklist: https://cotiviti.sharepoint.com/:w:/r/sites/EDMEngineeringTeam/_layouts/15/Doc.aspx?sourcedoc=%7BB490FDCD-F34A-4AEC-BCD7-216CD30E7A91%7D&amp;file=Humana_PPM_DataIngestion_Production_Job_Transition_Checklist.docx&amp;action=default&amp;mobileredirect=true Escalation doc: https://cotiviti.sharepoint.com/:w:/r/sites/EDMEngineeringTeam/_layouts/15/Doc.aspx?sourcedoc=%7B1954C877-DE8A-469D-98D3-D139ACA29530%7D&amp;file=Humana%20Cotiviti%20PCA%20Escalation%20Plan%20Update%204.27.2026.docx&amp;action=default&amp;mobileredirect=true As noted via email, there are still a few pending items and I will send an update once those are complete. Awaiting Live files and full transition.</t>
        </is>
      </c>
      <c r="S206" s="109" t="inlineStr"/>
      <c r="T206" s="109" t="inlineStr"/>
      <c r="U206" s="109" t="inlineStr"/>
      <c r="V206" s="110" t="inlineStr">
        <is>
          <t>Other</t>
        </is>
      </c>
      <c r="W206" s="109" t="inlineStr">
        <is>
          <t>Yes</t>
        </is>
      </c>
    </row>
    <row r="207">
      <c r="A207" s="107" t="inlineStr">
        <is>
          <t>IT-3028896</t>
        </is>
      </c>
      <c r="B207" s="107" t="inlineStr">
        <is>
          <t>IT-3028896</t>
        </is>
      </c>
      <c r="C207" s="107" t="inlineStr"/>
      <c r="D207" s="44" t="inlineStr">
        <is>
          <t>Please copy files from Prod to Dev &amp; QC - (bcbsla-facets)</t>
        </is>
      </c>
      <c r="E207" s="44" t="inlineStr">
        <is>
          <t>Hello Nile prod team, can you please copy files from prod to target locations. Please see the attached spreadsheet (BCBSLA_CopyProdFiles_Dec2025.xlsx) for a list of source paths, target paths and files to pull. Spreadsheet includes two tabs, one to copy files from PROD to DEV and the other to copy the same files from prod to QC</t>
        </is>
      </c>
      <c r="F207" s="44" t="inlineStr">
        <is>
          <t>BCBSLA_CopyProdFiles_Dec2025.xlsx Hi Gallegos, Diane Files copied please verify and let me know i will update permissions. Thanks bcbsla-facets_prod_dev_qc_copy.sh</t>
        </is>
      </c>
      <c r="G207" s="44" t="inlineStr">
        <is>
          <t>Files Copied</t>
        </is>
      </c>
      <c r="H207" s="107" t="inlineStr">
        <is>
          <t>Other</t>
        </is>
      </c>
      <c r="I207" s="107" t="inlineStr">
        <is>
          <t>Other</t>
        </is>
      </c>
      <c r="J207" s="107" t="inlineStr"/>
      <c r="K207" s="107" t="inlineStr">
        <is>
          <t>Closed</t>
        </is>
      </c>
      <c r="L207" s="107" t="inlineStr">
        <is>
          <t>2026-05-01</t>
        </is>
      </c>
      <c r="M207" s="107" t="inlineStr">
        <is>
          <t>2026-05-04</t>
        </is>
      </c>
      <c r="N207" s="107" t="inlineStr">
        <is>
          <t>Nile Production Support</t>
        </is>
      </c>
      <c r="O207" s="107" t="inlineStr">
        <is>
          <t>Unassigned</t>
        </is>
      </c>
      <c r="P207" s="107" t="inlineStr">
        <is>
          <t>Gallegos, Diane</t>
        </is>
      </c>
      <c r="Q207" s="107" t="inlineStr">
        <is>
          <t>Resolved</t>
        </is>
      </c>
      <c r="R207" s="44" t="inlineStr">
        <is>
          <t>BCBSLA_CopyProdFiles_Dec2025.xlsx Hi Gallegos, Diane Files copied please verify and let me know i will update permissions. Thanks bcbsla-facets_prod_dev_qc_copy.sh</t>
        </is>
      </c>
      <c r="S207" s="107" t="inlineStr"/>
      <c r="T207" s="107" t="inlineStr"/>
      <c r="U207" s="107" t="inlineStr"/>
      <c r="V207" s="113" t="inlineStr">
        <is>
          <t>Other</t>
        </is>
      </c>
      <c r="W207" s="107" t="inlineStr">
        <is>
          <t>Yes</t>
        </is>
      </c>
    </row>
    <row r="208">
      <c r="A208" s="109" t="inlineStr">
        <is>
          <t>IT-3028745</t>
        </is>
      </c>
      <c r="B208" s="109" t="inlineStr">
        <is>
          <t>IT-3028745</t>
        </is>
      </c>
      <c r="C208" s="109" t="inlineStr"/>
      <c r="D208" s="47" t="inlineStr">
        <is>
          <t>please help reschedule UHC Cirrus nile weekly ingestion pipeline to the original schedule</t>
        </is>
      </c>
      <c r="E208" s="47" t="inlineStr">
        <is>
          <t>please help reschedule UHC Cirrus nile weekly ingestion pipeline to the original schedule</t>
        </is>
      </c>
      <c r="F208" s="47" t="inlineStr"/>
      <c r="G208" s="47" t="inlineStr">
        <is>
          <t>task completed</t>
        </is>
      </c>
      <c r="H208" s="109" t="inlineStr">
        <is>
          <t>Other</t>
        </is>
      </c>
      <c r="I208" s="109" t="inlineStr">
        <is>
          <t>Other</t>
        </is>
      </c>
      <c r="J208" s="109" t="inlineStr"/>
      <c r="K208" s="109" t="inlineStr">
        <is>
          <t>Closed</t>
        </is>
      </c>
      <c r="L208" s="109" t="inlineStr">
        <is>
          <t>2026-05-01</t>
        </is>
      </c>
      <c r="M208" s="109" t="inlineStr">
        <is>
          <t>2026-05-01</t>
        </is>
      </c>
      <c r="N208" s="109" t="inlineStr">
        <is>
          <t>Nile Production Support</t>
        </is>
      </c>
      <c r="O208" s="109" t="inlineStr">
        <is>
          <t>Unassigned</t>
        </is>
      </c>
      <c r="P208" s="109" t="inlineStr">
        <is>
          <t>Tang, Chao</t>
        </is>
      </c>
      <c r="Q208" s="109" t="inlineStr">
        <is>
          <t>Resolved</t>
        </is>
      </c>
      <c r="R208" s="47" t="inlineStr"/>
      <c r="S208" s="109" t="inlineStr"/>
      <c r="T208" s="109" t="inlineStr"/>
      <c r="U208" s="109" t="inlineStr"/>
      <c r="V208" s="112" t="inlineStr">
        <is>
          <t>Pipeline Schedule</t>
        </is>
      </c>
      <c r="W208" s="109" t="inlineStr"/>
    </row>
    <row r="209">
      <c r="A209" s="107" t="inlineStr">
        <is>
          <t>IT-3028523</t>
        </is>
      </c>
      <c r="B209" s="107" t="inlineStr">
        <is>
          <t>IT-3028523</t>
        </is>
      </c>
      <c r="C209" s="107" t="inlineStr"/>
      <c r="D209" s="44" t="inlineStr">
        <is>
          <t>UHC Cosmos - Layout Update in COSMOS_FACL_CONTRACT_CATEGORY_OUT_&lt;&gt;.txt.gz.pgp</t>
        </is>
      </c>
      <c r="E209" s="44" t="inlineStr">
        <is>
          <t>Hello Nile Team, We have a layout update in file ‘COSMOS_FACL_CONTRACT_CATEGORY_OUT_&lt;&gt;’. Client has added new column ‘FL_MNT_DT’ at the end which is a Date field. We haven’t yet received the latest data dictionary. However, could you please help make updates in the pipeline so that we can ingest the file we received on 04/30. I have updated the SQL raw staging table ‘UhCosmosDataRaw.dbo.CosmosFaclContractCategory_Holding’ and added field ‘FlMntDT’. Pipeline Name : prod - dm-uhc-cosmos-actian_migration_cosmosfaclcontractcategory Thanks, Priya</t>
        </is>
      </c>
      <c r="F209" s="44" t="inlineStr">
        <is>
          <t>updated schema and ran pipeline got below error Actian Migration - Errors Found 20260428 - 1 - prod - dm-uhc-cosmos-actian_migration_cosmosfaclcontractcategory sent email please have a look Hi Dongol, Priya file loaded after schema changes Thanks</t>
        </is>
      </c>
      <c r="G209" s="44" t="inlineStr">
        <is>
          <t>File loaded</t>
        </is>
      </c>
      <c r="H209" s="107" t="inlineStr">
        <is>
          <t>Other</t>
        </is>
      </c>
      <c r="I209" s="107" t="inlineStr">
        <is>
          <t>Other</t>
        </is>
      </c>
      <c r="J209" s="107" t="inlineStr"/>
      <c r="K209" s="107" t="inlineStr">
        <is>
          <t>Closed</t>
        </is>
      </c>
      <c r="L209" s="107" t="inlineStr">
        <is>
          <t>2026-05-01</t>
        </is>
      </c>
      <c r="M209" s="107" t="inlineStr">
        <is>
          <t>2026-05-04</t>
        </is>
      </c>
      <c r="N209" s="107" t="inlineStr">
        <is>
          <t>Nile Production Support</t>
        </is>
      </c>
      <c r="O209" s="107" t="inlineStr">
        <is>
          <t>Unassigned</t>
        </is>
      </c>
      <c r="P209" s="107" t="inlineStr">
        <is>
          <t>Dongol, Priya</t>
        </is>
      </c>
      <c r="Q209" s="107" t="inlineStr">
        <is>
          <t>Resolved</t>
        </is>
      </c>
      <c r="R209" s="44" t="inlineStr">
        <is>
          <t>updated schema and ran pipeline got below error Actian Migration - Errors Found 20260428 - 1 - prod - dm-uhc-cosmos-actian_migration_cosmosfaclcontractcategory sent email please have a look Hi Dongol, Priya file loaded after schema changes Thanks</t>
        </is>
      </c>
      <c r="S209" s="107" t="inlineStr"/>
      <c r="T209" s="107" t="inlineStr"/>
      <c r="U209" s="107" t="inlineStr"/>
      <c r="V209" s="126" t="inlineStr">
        <is>
          <t>Schema issue</t>
        </is>
      </c>
      <c r="W209" s="107" t="inlineStr"/>
    </row>
    <row r="210">
      <c r="A210" s="109" t="inlineStr">
        <is>
          <t>IT-3028179</t>
        </is>
      </c>
      <c r="B210" s="109" t="inlineStr">
        <is>
          <t>IT-3028179</t>
        </is>
      </c>
      <c r="C210" s="109" t="inlineStr"/>
      <c r="D210" s="47" t="inlineStr">
        <is>
          <t>Unmatched gdf_member_enrollment raw data count - 20260429_1 - prod - fwa-BCBSND-OSCAR_member_GDF2_3</t>
        </is>
      </c>
      <c r="E210" s="47" t="inlineStr">
        <is>
          <t>Pipeline: fwa-BCBSND-OSCAR_member_GDF2_3 Email ref:Unmatched gdf_member_enrollment raw data count - 20260429_1 - prod - fwa-BCBSND-OSCAR_member_GDF2_3 Please Investigate.</t>
        </is>
      </c>
      <c r="F210" s="47" t="inlineStr">
        <is>
          <t>Hi Kandel, Amik pipeline completed for 20260429 datadate. Thanks Satish Devatha</t>
        </is>
      </c>
      <c r="G210" s="47" t="inlineStr">
        <is>
          <t>pipeline completed</t>
        </is>
      </c>
      <c r="H210" s="109" t="inlineStr">
        <is>
          <t>Other</t>
        </is>
      </c>
      <c r="I210" s="109" t="inlineStr">
        <is>
          <t>Other</t>
        </is>
      </c>
      <c r="J210" s="109" t="inlineStr"/>
      <c r="K210" s="109" t="inlineStr">
        <is>
          <t>Closed</t>
        </is>
      </c>
      <c r="L210" s="109" t="inlineStr">
        <is>
          <t>2026-05-01</t>
        </is>
      </c>
      <c r="M210" s="109" t="inlineStr">
        <is>
          <t>2026-05-01</t>
        </is>
      </c>
      <c r="N210" s="109" t="inlineStr">
        <is>
          <t>Nile Production Support</t>
        </is>
      </c>
      <c r="O210" s="109" t="inlineStr">
        <is>
          <t>Unassigned</t>
        </is>
      </c>
      <c r="P210" s="109" t="inlineStr">
        <is>
          <t>Kandel, Amik</t>
        </is>
      </c>
      <c r="Q210" s="109" t="inlineStr">
        <is>
          <t>Resolved</t>
        </is>
      </c>
      <c r="R210" s="47" t="inlineStr">
        <is>
          <t>Hi Kandel, Amik pipeline completed for 20260429 datadate. Thanks Satish Devatha</t>
        </is>
      </c>
      <c r="S210" s="109" t="inlineStr"/>
      <c r="T210" s="109" t="inlineStr"/>
      <c r="U210" s="109" t="inlineStr"/>
      <c r="V210" s="127" t="inlineStr">
        <is>
          <t>Data Issue</t>
        </is>
      </c>
      <c r="W210" s="109" t="inlineStr"/>
    </row>
    <row r="211">
      <c r="A211" s="107" t="inlineStr">
        <is>
          <t>IT-3027931</t>
        </is>
      </c>
      <c r="B211" s="107" t="inlineStr">
        <is>
          <t>IT-3027931</t>
        </is>
      </c>
      <c r="C211" s="107" t="inlineStr"/>
      <c r="D211" s="44" t="inlineStr">
        <is>
          <t>[BCBS_MI_BCN]-Update prechecks for BMC and publish all the child pipelines.</t>
        </is>
      </c>
      <c r="E211" s="44" t="inlineStr">
        <is>
          <t>Update precheck with pipeline version as latest and remove all the unnecessary parameters from the pipeline. Publish all the child pipelines and modify subscribe BMC pipeline versions to latest.</t>
        </is>
      </c>
      <c r="F211" s="44" t="inlineStr">
        <is>
          <t>BMC Pipeline prechecks conditions for pipeline version is updated to latest. Published and scheduled the latest BMC version pipeline. Waiting for next successfull production run.</t>
        </is>
      </c>
      <c r="G211" s="44" t="inlineStr">
        <is>
          <t>BMC Pipeline prechecks conditions for pipeline version is updated to latest. Published and scheduled the latest BMC version pipeline. FYI: trigger_bmc_workflow-bcbsmi_bcn_monthly Version: V1.6</t>
        </is>
      </c>
      <c r="H211" s="107" t="inlineStr">
        <is>
          <t>Other</t>
        </is>
      </c>
      <c r="I211" s="107" t="inlineStr">
        <is>
          <t>Other</t>
        </is>
      </c>
      <c r="J211" s="107" t="inlineStr"/>
      <c r="K211" s="107" t="inlineStr">
        <is>
          <t>Closed</t>
        </is>
      </c>
      <c r="L211" s="107" t="inlineStr">
        <is>
          <t>2026-05-01</t>
        </is>
      </c>
      <c r="M211" s="107" t="inlineStr">
        <is>
          <t>2026-05-13</t>
        </is>
      </c>
      <c r="N211" s="107" t="inlineStr">
        <is>
          <t>Nile Production Support</t>
        </is>
      </c>
      <c r="O211" s="107" t="inlineStr">
        <is>
          <t>Unassigned</t>
        </is>
      </c>
      <c r="P211" s="107" t="inlineStr">
        <is>
          <t>Kamsetty, Sravani</t>
        </is>
      </c>
      <c r="Q211" s="107" t="inlineStr">
        <is>
          <t>Resolved</t>
        </is>
      </c>
      <c r="R211" s="44" t="inlineStr">
        <is>
          <t>BMC Pipeline prechecks conditions for pipeline version is updated to latest. Published and scheduled the latest BMC version pipeline. Waiting for next successfull production run.</t>
        </is>
      </c>
      <c r="S211" s="107" t="inlineStr"/>
      <c r="T211" s="107" t="inlineStr"/>
      <c r="U211" s="107" t="inlineStr"/>
      <c r="V211" s="123" t="inlineStr">
        <is>
          <t>Configuration Issue</t>
        </is>
      </c>
      <c r="W211" s="107" t="inlineStr"/>
    </row>
  </sheetData>
  <autoFilter ref="A2:W2"/>
  <mergeCells count="1">
    <mergeCell ref="A1:W1"/>
  </mergeCells>
  <dataValidations count="1">
    <dataValidation sqref="V3:V211" showDropDown="0" showInputMessage="0" showErrorMessage="1" allowBlank="0" errorTitle="Invalid Category" error="Please select a valid category from the dropdown." type="list">
      <formula1>'_categories'!$A$1:$A$12</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4" customWidth="1" min="4" max="4"/>
    <col width="14" customWidth="1" min="5" max="5"/>
  </cols>
  <sheetData>
    <row r="1" ht="28" customHeight="1">
      <c r="A1" s="69" t="inlineStr">
        <is>
          <t>NILE Pipeline Issue Summary — May 2026</t>
        </is>
      </c>
    </row>
    <row r="2" ht="20" customHeight="1">
      <c r="A2" s="70">
        <f>"Total Tickets: "&amp;TEXT(COUNTIF('Raw — May 2026'!$V$3:$V$10000,"&lt;&gt;"),"0")</f>
        <v/>
      </c>
    </row>
    <row r="4" ht="22" customHeight="1">
      <c r="A4" s="11" t="inlineStr">
        <is>
          <t>Category</t>
        </is>
      </c>
      <c r="B4" s="11" t="inlineStr">
        <is>
          <t>Count</t>
        </is>
      </c>
      <c r="C4" s="11" t="inlineStr">
        <is>
          <t>% Share</t>
        </is>
      </c>
      <c r="D4" s="11" t="inlineStr">
        <is>
          <t>vs Last Month</t>
        </is>
      </c>
      <c r="E4" s="11" t="inlineStr">
        <is>
          <t>Color Tag</t>
        </is>
      </c>
    </row>
    <row r="5">
      <c r="A5" s="71" t="inlineStr">
        <is>
          <t>Configuration Issue</t>
        </is>
      </c>
      <c r="B5" s="13">
        <f>COUNTIF('Raw — May 2026'!$V$3:$V$10000,"Configuration Issue")</f>
        <v/>
      </c>
      <c r="C5" s="72">
        <f>IF(COUNTIF('Raw — May 2026'!$V$3:$V$10000,"&lt;&gt;")&gt;0,COUNTIF('Raw — May 2026'!$V$3:$V$10000,"Configuration Issue")/COUNTIF('Raw — May 2026'!$V$3:$V$10000,"&lt;&gt;"),0)</f>
        <v/>
      </c>
      <c r="D5" s="98" t="inlineStr">
        <is>
          <t>▼ -11</t>
        </is>
      </c>
      <c r="E5" s="73" t="inlineStr"/>
    </row>
    <row r="6">
      <c r="A6" s="74" t="inlineStr">
        <is>
          <t>File Issue</t>
        </is>
      </c>
      <c r="B6" s="18">
        <f>COUNTIF('Raw — May 2026'!$V$3:$V$10000,"File Issue")</f>
        <v/>
      </c>
      <c r="C6" s="75">
        <f>IF(COUNTIF('Raw — May 2026'!$V$3:$V$10000,"&lt;&gt;")&gt;0,COUNTIF('Raw — May 2026'!$V$3:$V$10000,"File Issue")/COUNTIF('Raw — May 2026'!$V$3:$V$10000,"&lt;&gt;"),0)</f>
        <v/>
      </c>
      <c r="D6" s="99" t="inlineStr">
        <is>
          <t>▼ -15</t>
        </is>
      </c>
      <c r="E6" s="76" t="inlineStr"/>
    </row>
    <row r="7">
      <c r="A7" s="71" t="inlineStr">
        <is>
          <t>Spooler issue</t>
        </is>
      </c>
      <c r="B7" s="13">
        <f>COUNTIF('Raw — May 2026'!$V$3:$V$10000,"Spooler issue")</f>
        <v/>
      </c>
      <c r="C7" s="72">
        <f>IF(COUNTIF('Raw — May 2026'!$V$3:$V$10000,"&lt;&gt;")&gt;0,COUNTIF('Raw — May 2026'!$V$3:$V$10000,"Spooler issue")/COUNTIF('Raw — May 2026'!$V$3:$V$10000,"&lt;&gt;"),0)</f>
        <v/>
      </c>
      <c r="D7" s="100" t="inlineStr">
        <is>
          <t>▲ +4</t>
        </is>
      </c>
      <c r="E7" s="77" t="inlineStr"/>
    </row>
    <row r="8">
      <c r="A8" s="74" t="inlineStr">
        <is>
          <t>Data Issue</t>
        </is>
      </c>
      <c r="B8" s="18">
        <f>COUNTIF('Raw — May 2026'!$V$3:$V$10000,"Data Issue")</f>
        <v/>
      </c>
      <c r="C8" s="75">
        <f>IF(COUNTIF('Raw — May 2026'!$V$3:$V$10000,"&lt;&gt;")&gt;0,COUNTIF('Raw — May 2026'!$V$3:$V$10000,"Data Issue")/COUNTIF('Raw — May 2026'!$V$3:$V$10000,"&lt;&gt;"),0)</f>
        <v/>
      </c>
      <c r="D8" s="99" t="inlineStr">
        <is>
          <t>▼ -6</t>
        </is>
      </c>
      <c r="E8" s="78" t="inlineStr"/>
    </row>
    <row r="9">
      <c r="A9" s="71" t="inlineStr">
        <is>
          <t>File Missing</t>
        </is>
      </c>
      <c r="B9" s="13">
        <f>COUNTIF('Raw — May 2026'!$V$3:$V$10000,"File Missing")</f>
        <v/>
      </c>
      <c r="C9" s="72">
        <f>IF(COUNTIF('Raw — May 2026'!$V$3:$V$10000,"&lt;&gt;")&gt;0,COUNTIF('Raw — May 2026'!$V$3:$V$10000,"File Missing")/COUNTIF('Raw — May 2026'!$V$3:$V$10000,"&lt;&gt;"),0)</f>
        <v/>
      </c>
      <c r="D9" s="98" t="inlineStr">
        <is>
          <t>▼ -12</t>
        </is>
      </c>
      <c r="E9" s="79" t="inlineStr"/>
    </row>
    <row r="10">
      <c r="A10" s="74" t="inlineStr">
        <is>
          <t>Unmatched raw data count</t>
        </is>
      </c>
      <c r="B10" s="18">
        <f>COUNTIF('Raw — May 2026'!$V$3:$V$10000,"Unmatched raw data count")</f>
        <v/>
      </c>
      <c r="C10" s="75">
        <f>IF(COUNTIF('Raw — May 2026'!$V$3:$V$10000,"&lt;&gt;")&gt;0,COUNTIF('Raw — May 2026'!$V$3:$V$10000,"Unmatched raw data count")/COUNTIF('Raw — May 2026'!$V$3:$V$10000,"&lt;&gt;"),0)</f>
        <v/>
      </c>
      <c r="D10" s="130" t="inlineStr">
        <is>
          <t>— same</t>
        </is>
      </c>
      <c r="E10" s="80" t="inlineStr"/>
    </row>
    <row r="11">
      <c r="A11" s="71" t="inlineStr">
        <is>
          <t>Pipeline Schedule</t>
        </is>
      </c>
      <c r="B11" s="13">
        <f>COUNTIF('Raw — May 2026'!$V$3:$V$10000,"Pipeline Schedule")</f>
        <v/>
      </c>
      <c r="C11" s="72">
        <f>IF(COUNTIF('Raw — May 2026'!$V$3:$V$10000,"&lt;&gt;")&gt;0,COUNTIF('Raw — May 2026'!$V$3:$V$10000,"Pipeline Schedule")/COUNTIF('Raw — May 2026'!$V$3:$V$10000,"&lt;&gt;"),0)</f>
        <v/>
      </c>
      <c r="D11" s="100" t="inlineStr">
        <is>
          <t>▲ +4</t>
        </is>
      </c>
      <c r="E11" s="81" t="inlineStr"/>
    </row>
    <row r="12">
      <c r="A12" s="74" t="inlineStr">
        <is>
          <t>DB Issue</t>
        </is>
      </c>
      <c r="B12" s="18">
        <f>COUNTIF('Raw — May 2026'!$V$3:$V$10000,"DB Issue")</f>
        <v/>
      </c>
      <c r="C12" s="75">
        <f>IF(COUNTIF('Raw — May 2026'!$V$3:$V$10000,"&lt;&gt;")&gt;0,COUNTIF('Raw — May 2026'!$V$3:$V$10000,"DB Issue")/COUNTIF('Raw — May 2026'!$V$3:$V$10000,"&lt;&gt;"),0)</f>
        <v/>
      </c>
      <c r="D12" s="130" t="inlineStr">
        <is>
          <t>— same</t>
        </is>
      </c>
      <c r="E12" s="82" t="inlineStr"/>
    </row>
    <row r="13">
      <c r="A13" s="71" t="inlineStr">
        <is>
          <t>Metric drop</t>
        </is>
      </c>
      <c r="B13" s="13">
        <f>COUNTIF('Raw — May 2026'!$V$3:$V$10000,"Metric drop")</f>
        <v/>
      </c>
      <c r="C13" s="72">
        <f>IF(COUNTIF('Raw — May 2026'!$V$3:$V$10000,"&lt;&gt;")&gt;0,COUNTIF('Raw — May 2026'!$V$3:$V$10000,"Metric drop")/COUNTIF('Raw — May 2026'!$V$3:$V$10000,"&lt;&gt;"),0)</f>
        <v/>
      </c>
      <c r="D13" s="98" t="inlineStr">
        <is>
          <t>▼ -4</t>
        </is>
      </c>
      <c r="E13" s="83" t="inlineStr"/>
    </row>
    <row r="14">
      <c r="A14" s="74" t="inlineStr">
        <is>
          <t>Schema issue</t>
        </is>
      </c>
      <c r="B14" s="18">
        <f>COUNTIF('Raw — May 2026'!$V$3:$V$10000,"Schema issue")</f>
        <v/>
      </c>
      <c r="C14" s="75">
        <f>IF(COUNTIF('Raw — May 2026'!$V$3:$V$10000,"&lt;&gt;")&gt;0,COUNTIF('Raw — May 2026'!$V$3:$V$10000,"Schema issue")/COUNTIF('Raw — May 2026'!$V$3:$V$10000,"&lt;&gt;"),0)</f>
        <v/>
      </c>
      <c r="D14" s="130" t="inlineStr">
        <is>
          <t>— same</t>
        </is>
      </c>
      <c r="E14" s="84" t="inlineStr"/>
    </row>
    <row r="15">
      <c r="A15" s="71" t="inlineStr">
        <is>
          <t>Issue Platform</t>
        </is>
      </c>
      <c r="B15" s="13">
        <f>COUNTIF('Raw — May 2026'!$V$3:$V$10000,"Issue Platform")</f>
        <v/>
      </c>
      <c r="C15" s="72">
        <f>IF(COUNTIF('Raw — May 2026'!$V$3:$V$10000,"&lt;&gt;")&gt;0,COUNTIF('Raw — May 2026'!$V$3:$V$10000,"Issue Platform")/COUNTIF('Raw — May 2026'!$V$3:$V$10000,"&lt;&gt;"),0)</f>
        <v/>
      </c>
      <c r="D15" s="100" t="inlineStr">
        <is>
          <t>▲ +7</t>
        </is>
      </c>
      <c r="E15" s="85" t="inlineStr"/>
    </row>
    <row r="16">
      <c r="A16" s="74" t="inlineStr">
        <is>
          <t>Other</t>
        </is>
      </c>
      <c r="B16" s="18">
        <f>COUNTIF('Raw — May 2026'!$V$3:$V$10000,"Other")</f>
        <v/>
      </c>
      <c r="C16" s="75">
        <f>IF(COUNTIF('Raw — May 2026'!$V$3:$V$10000,"&lt;&gt;")&gt;0,COUNTIF('Raw — May 2026'!$V$3:$V$10000,"Other")/COUNTIF('Raw — May 2026'!$V$3:$V$10000,"&lt;&gt;"),0)</f>
        <v/>
      </c>
      <c r="D16" s="104" t="inlineStr">
        <is>
          <t>▲ +6</t>
        </is>
      </c>
      <c r="E16" s="86" t="inlineStr"/>
    </row>
    <row r="17">
      <c r="A17" s="87" t="inlineStr">
        <is>
          <t>Monthly Total</t>
        </is>
      </c>
      <c r="B17" s="13">
        <f>SUM(B5:B16)</f>
        <v/>
      </c>
      <c r="C17" s="88" t="inlineStr">
        <is>
          <t>100%</t>
        </is>
      </c>
      <c r="D17" s="89" t="inlineStr"/>
      <c r="E17" s="89" t="inlineStr"/>
    </row>
  </sheetData>
  <mergeCells count="1">
    <mergeCell ref="A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94"/>
  <sheetViews>
    <sheetView showGridLines="0" workbookViewId="0">
      <pane ySplit="3" topLeftCell="A4" activePane="bottomLeft" state="frozen"/>
      <selection pane="bottomLeft" activeCell="A1" sqref="A1"/>
    </sheetView>
  </sheetViews>
  <sheetFormatPr baseColWidth="8" defaultRowHeight="15"/>
  <cols>
    <col width="14" customWidth="1" min="1" max="1"/>
    <col width="42" customWidth="1" min="2" max="2"/>
    <col width="38" customWidth="1" min="3" max="3"/>
    <col width="32" customWidth="1" min="4" max="4"/>
    <col width="28" customWidth="1" min="5" max="5"/>
    <col width="12" customWidth="1" min="6" max="6"/>
    <col width="12" customWidth="1" min="7" max="7"/>
  </cols>
  <sheetData>
    <row r="1" ht="26" customHeight="1">
      <c r="A1" s="90" t="inlineStr">
        <is>
          <t>Needs Review — 89 uncategorized tickets</t>
        </is>
      </c>
    </row>
    <row r="2" ht="18" customHeight="1">
      <c r="A2" s="91">
        <f>"Needs Review count: "&amp;COUNTIF('Raw — May 2026'!$V$3:$V$10000,"Other")&amp;" — Change category in Raw Tickets tab, then re-run to refresh this list"</f>
        <v/>
      </c>
    </row>
    <row r="3" ht="20" customHeight="1">
      <c r="A3" s="92" t="inlineStr">
        <is>
          <t>Key</t>
        </is>
      </c>
      <c r="B3" s="92" t="inlineStr">
        <is>
          <t>Summary</t>
        </is>
      </c>
      <c r="C3" s="92" t="inlineStr">
        <is>
          <t>Description</t>
        </is>
      </c>
      <c r="D3" s="92" t="inlineStr">
        <is>
          <t>Comment</t>
        </is>
      </c>
      <c r="E3" s="92" t="inlineStr">
        <is>
          <t>Close Notes</t>
        </is>
      </c>
      <c r="F3" s="92" t="inlineStr">
        <is>
          <t>Status</t>
        </is>
      </c>
      <c r="G3" s="92" t="inlineStr">
        <is>
          <t>Created</t>
        </is>
      </c>
    </row>
    <row r="4" ht="40" customHeight="1">
      <c r="A4" s="93" t="inlineStr">
        <is>
          <t>IT-3084426</t>
        </is>
      </c>
      <c r="B4" s="94" t="inlineStr">
        <is>
          <t>CIGMC :: cigmc_daily_incoming_220050 :: 5/24/2026</t>
        </is>
      </c>
      <c r="C4" s="94" t="inlineStr">
        <is>
          <t>File : cigmc_daily_incoming_220050.05-24-2026_2310 QA Status : FAILED Reason : FAILED - Excessive failed lines (~68%) The QA Log: QA Test Name: excessive_fails Pre/Post Run: 1 Result: FAILED - Excessive failed lines (~68%)</t>
        </is>
      </c>
      <c r="D4" s="94" t="inlineStr">
        <is>
          <t>CIGMC|T|0030212|20260525|122|P TRAILER|122|20260525|030051 The Run Results Log: PayerShort: CIGMC MemberId: 46L8X1F16 DependentId: 00 TaxId: 860423068 ProviderId: ClaimId: 2602AHRW5403 Error: PROVIDER_ID is blank PayerShort: CIGMC MemberId: 17F5R3X35 DependentId: 00 TaxId: 562589722 ProviderId: ClaimId: 26100ALQ9802 Error: PROVIDER_ID is blank PayerShort: CIGMC MemberId: 16F6F4F18 DependentId: 00 TaxId: 860423068 ProviderId: ClaimId: 2604AIGF0902 Error: PROVIDER_ID is blank PayerShort: CIGMC MemberId: 41F8L9F47 DependentId: 00 TaxId: 860423068 ProviderId: ClaimId: 25340ACO6503 Error: PROVIDER_ID is blank PayerShort: CIGMC MemberId: 33F3U7L83 DependentId: 00 TaxId: 860423068 ProviderId: ClaimId: 26018AQU5503 Error: PROVIDER_ID is blank PayerShort: CIGMC MemberId: 53F3L3X22 DependentId: 00 TaxId: 860423068 ProviderId: ClaimId: 2602AITY4003 Error: PROVIDER_ID is blank PayerShort: CIGMC MemberId: 51U5H3H29 DependentId: 00 TaxId: 860423068 ProviderId: ClaimId: 25325AOE4703 Error: PROVIDER_ID is blank PayerShort: CIGMC MemberId: 65L5U9U61 DependentId: 00 TaxId: 860423068 ProviderId: ClaimId: 2601AETH2603 Error: PROVIDER_ID is blank PayerShort: CIGMC MemberId: 66R6F1X93 DependentId: 00 TaxId: 860423068 ProviderId: ClaimId: 2602ALZC9103 Error: PROVIDER_ID is blank PayerShort: CIGMC MemberId: 67L4H2A46 DependentId: 00 TaxId: 860423068 ProviderId: ClaimId: 2603AEMR5503 Error: PROVIDER_ID is blank PayerShort: CIGMC MemberId: 68R7H5H63 DependentId: 00 TaxId: 860423068 ProviderId: ClaimId: 2603AISL6202 Error: PROVIDER_ID is blank PayerShort: CIGMC MemberId: 67H7F5R12 DependentId: 00 TaxId: 860423068 ProviderId: ClaimId: 25353AJD7303 Error: PROVIDER_ID is blank PayerShort: CIGMC MemberId: U0382172801 DependentId: 00 TaxId: 860423068 ProviderId: ClaimId: 2603AEMP5503 Error: PROVIDER_ID is blank PayerShort: CIGMC MemberId: U0385651101 DependentId: 00 TaxId: 860423068 ProviderId: ClaimId: 26072AFK8703 Error: PROVIDER_ID is blank PayerShort: CIGMC MemberId: U0701128101 DependentId: 00 TaxId: 860423068 ProviderId: ClaimId: 26044AHN6803 Error: PROVIDER_ID is blank PayerShort: CIGMC MemberId: U0474677401 DependentId: 00 TaxId: 860423068 ProviderId: ClaimId: 2602ACEN0803 Error: PROVIDER_ID is blank PayerShort: CIGMC MemberId: U1538699201 DependentId: 00 TaxId: 860423068 ProviderId: ClaimId: 25359ANZ3403 Error: PROVIDER_ID is blank PayerShort: CIGMC MemberId: U1573945601 DependentId: 00 TaxId: 860423068 ProviderId: ClaimId: 2603AISJ5303 Error: PROVIDER_ID is blank PayerShort: CIGMC MemberId: U1571966801 DependentId: 00 TaxId: 860423068 ProviderId: ClaimId: 2605AAEN3802 Error: PROVIDER_ID is blank PayerShort: CIGMC MemberId: U1573128301 DependentId: 00 TaxId: 860423068 ProviderId: ClaimId: 2601AETG8603 Error: PROVIDER_ID is blank PayerShort: CIGMC MemberId: U0730121801 DependentId: 00 TaxId: 860423068 ProviderId: ClaimId: 26024APP6403 Error: PROVIDER_ID is blank PayerShort: CIGMC MemberId: U2426297901 DependentId: 00 TaxId: 860423068 ProviderId: ClaimId: 25333AEP1803 Error: PROVIDER_ID is blank PayerShort: CIGMC MemberId: U0730121801 DependentId: 00 TaxId: 860423068 ProviderId: ClaimId: 26040BJF9703 Error: PROVIDER_ID is blank PayerShort: CIGMC MemberId: U3303139001 DependentId: 00 TaxId: 860423068 ProviderId: ClaimId: 26011ADE3503 Error: PROVIDER_ID is blank PayerShort: CIGMC MemberId: 72H1F8H14 DependentId: 00 TaxId: 860423068 ProviderId: ClaimId: 26042AQY7003 Error: PROVIDER_ID is blank PayerShort: CIGMC MemberId: U2970437501 DependentId: 00 TaxId: 860423068 ProviderId: ClaimId: 2601AEWJ5503 Error: PROVIDER_ID is blank PayerShort: CIGMC MemberId: U2970437501 DependentId: 00 TaxId: 562589722 ProviderId: ClaimId: 2604AESC2302 Error: PROVIDER_ID is blank PayerShort: CIGMC MemberId: U3712615301 DependentId: 00 TaxId: 860423068 ProviderId: ClaimId: 26032ALP9703 Error: PROVIDER_ID is blank PayerShort: CIGMC MemberId: U4005072401 DependentId: 00 TaxId: 860423068 ProviderId: ClaimId: 25347ACV2303 Error: PROVIDER_ID is blank PayerShort: CIGMC MemberId: U3386440301 DependentId: 00 TaxId: 860423068 ProviderId: ClaimId: 2601AMMP2303 Error: PROVIDER_ID is blank PayerShort: CIGMC MemberId: U3386440301 DependentId: 00 TaxId: 860423068 ProviderId: ClaimId: 26060ALF8503 Error: PROVIDER_ID is blank PayerShort: CIGMC MemberId: U4451238801 DependentId: 00 TaxId: 860423068 ProviderId: ClaimId: 2602AKFC6103 Error: PROVIDER_ID is blank PayerShort: CIGMC MemberId: U3092575501 DependentId: 00 TaxId: 860423068 ProviderId: ClaimId: 2604AJKW2502 Error: PROVIDER_ID is blank PayerShort: CIGMC MemberId: U3734133101 DependentId: 00 TaxId: 562589722 ProviderId: ClaimId: 2602AMIR3703 Error: PROVIDER_ID is blank PayerShort: CIGMC MemberId: U5075929901 DependentId: 00 TaxId: 860423068 ProviderId: ClaimId: 25342ABH2303 Error: PROVIDER_ID is blank PayerShort: CIGMC MemberId: U5001358301 DependentId: 00 TaxId: 860423068 ProviderId: ClaimId: 25362AHO8003 Error: PROVIDER_ID is blank PayerShort: CIGMC MemberId: U3121076301 DependentId: 00 TaxId: 860423068 ProviderId: ClaimId: 2604ADTY6802 Error: PROVIDER_ID is blank PayerShort: CIGMC MemberId: U4463236301 DependentId: 00 TaxId: 860423068 ProviderId: ClaimId: 2604AIBU7702 Error: PROVIDER_ID is blank PayerShort: CIGMC MemberId: U7141495101 DependentId: 00 TaxId: 860423068 ProviderId: ClaimId: 26086AHR8903 Error: PROVIDER_ID is blank PayerShort: CIGMC MemberId: U7360002201 DependentId: 00 TaxId: 860423068 ProviderId: ClaimId: 2603AISL1102 Error: PROVIDER_ID is blank PayerShort: CIGMC MemberId: U7559048901 DependentId: 00 TaxId: 860423068 ProviderId: ClaimId: 26011ADR4403 Error: PROVIDER_ID is blank PayerShort: CIGMC MemberId: U7378856101 DependentId: 00 TaxId: 860423068 ProviderId: ClaimId: 26011AHB6303 Error: PROVIDER_ID is blank PayerShort: CIGMC MemberId: U7855440001 DependentId: 00 TaxId: 860423068 ProviderId: ClaimId: 2602AKAY4002 Error: PROVIDER_ID is blank PayerShort: CIGMC MemberId: U8111158901 DependentId: 00 TaxId: 860423068 ProviderId: ClaimId: 2602ACJE0002 Error: PROVIDER_ID is blank PayerShort: CIGMC MemberId: U4764022101 DependentId: 00 TaxId: 860423068 ProviderId: ClaimId: 26060AMR8203 Error: PROVIDER_ID is blank PayerShort: CIGMC MemberId: U7926774301 DependentId: 00 TaxId: 860423068 ProviderId: ClaimId: 2603AIBN3202 Error: PROVIDER_ID is blank PayerShort: CIGMC MemberId: U8545960001 DependentId: 00 TaxId: 860423068 ProviderId: ClaimId: 25347AEJ4803 Error: PROVIDER_ID is blank PayerShort: CIGMC MemberId: U8132207701 DependentId: 00 TaxId: 860423068 ProviderId: ClaimId: 2602AMKJ2303 Error: PROVIDER_ID is blank PayerShort: CIGMC MemberId: U6813433601 DependentId: 00 TaxId: 860423068 ProviderId: ClaimId: 2603AMRK4303 Error: PROVIDER_ID is blank PayerShort: CIGMC MemberId: U8017227601 DependentId: 00 TaxId: 860423068 ProviderId: ClaimId: 26053AMC2103 Error: PROVIDER_ID is blank PayerShort: CIGMC MemberId: U4957953401 DependentId: 00 TaxId: 860423068 ProviderId: ClaimId: 2604ACIZ5402 Error: PROVIDER_ID is blank PayerShort: CIGMC MemberId: U0510864401 DependentId: 00 TaxId: 860423068 ProviderId: ClaimId: 25342ABE5503 Error: PROVIDER_ID is blank PayerShort: CIGMC MemberId: U4797096101 DependentId: 00 TaxId: 860423068 ProviderId: ClaimId: 2603ALCP4202 Error: PROVIDER_ID is blank PayerShort: CIGMC MemberId: U7028228301 DependentId: 00 TaxId: 860423068 ProviderId: ClaimId: 2602AEQM5103 Error: PROVIDER_ID is blank PayerShort: CIGMC MemberId: U4203500101 DependentId: 00 TaxId: 860423068 ProviderId: ClaimId: 2603AGEW0803 Error: PROVIDER_ID is blank PayerShort: CIGMC MemberId: U8832970401 DependentId: 00 TaxId: 860423068 ProviderId: ClaimId: 25362AHF8303 Error: PROVIDER_ID is blank PayerShort: CIGMC MemberId: U4957953401 DependentId: 00 TaxId: 860423068 ProviderId: ClaimId: 2604AEJN5902 Error: PROVIDER_ID is blank PayerShort: CIGMC MemberId: U8400748701 DependentId: 00 TaxId: 860423068 ProviderId: ClaimId: 2603AFAZ1402 Error: PROVIDER_ID is blank PayerShort: CIGMC MemberId: U8017227601 DependentId: 00 TaxId: 860423068 ProviderId: ClaimId: 26099AAF3102 Error: PROVIDER_ID is blank PayerShort: CIGMC MemberId: U7683602501 DependentId: 00 TaxId: 860423068 ProviderId: ClaimId: 2601AMMQ3903 Error: PROVIDER_ID is blank PayerShort: CIGMC MemberId: U7028228301 DependentId: 00 TaxId: 860423068 ProviderId: ClaimId: 2603ALTB6402 Error: PROVIDER_ID is blank PayerShort: CIGMC MemberId: U7683602501 DependentId: 00 TaxId: 860423068 ProviderId: ClaimId: 26060AMI9102 Error: PROVIDER_ID is blank PayerShort: CIGMC MemberId: U4797096101 DependentId: 00 TaxId: 860423068 ProviderId: ClaimId: 26044ADF4603 Error: PROVIDER_ID is blank PayerShort: CIGMC MemberId: U5498193301 DependentId: 00 TaxId: 860423068 ProviderId: ClaimId: 2603AMRJ7302 Error: PROVIDER_ID is blank Edwards, Andrea , Email has been sent requesting a replacement file. Thank you.</t>
        </is>
      </c>
      <c r="E4" s="94" t="inlineStr"/>
      <c r="F4" s="93" t="inlineStr">
        <is>
          <t>Open</t>
        </is>
      </c>
      <c r="G4" s="93" t="inlineStr">
        <is>
          <t>2026-05-25</t>
        </is>
      </c>
    </row>
    <row r="5" ht="40" customHeight="1">
      <c r="A5" s="95" t="inlineStr">
        <is>
          <t>IT-3080307</t>
        </is>
      </c>
      <c r="B5" s="96" t="inlineStr">
        <is>
          <t>Peer Review Request for Refactored rca_emblem_emblem_claims Pipeline</t>
        </is>
      </c>
      <c r="C5" s="96" t="inlineStr">
        <is>
          <t>Hello Malireddy, Krishna , Kindly review the rca_emblem_emblem_claims_spark3 pipeline in the dev environment for version V3.13.</t>
        </is>
      </c>
      <c r="D5" s="96" t="inlineStr"/>
      <c r="E5" s="96" t="inlineStr"/>
      <c r="F5" s="95" t="inlineStr">
        <is>
          <t>Open</t>
        </is>
      </c>
      <c r="G5" s="95" t="inlineStr">
        <is>
          <t>2026-05-25</t>
        </is>
      </c>
    </row>
    <row r="6" ht="40" customHeight="1">
      <c r="A6" s="93" t="inlineStr">
        <is>
          <t>IT-3076973</t>
        </is>
      </c>
      <c r="B6" s="94" t="inlineStr">
        <is>
          <t>BCBS_LA cleanup files</t>
        </is>
      </c>
      <c r="C6" s="94" t="inlineStr">
        <is>
          <t>Hello Nile team, please cleanup BCBS_LA ftp once files for weekly Commercial and Medadvantage have been copied over to Nile environment and ingesting was successfully complete. Y:\Ftp\B2B\BCBS_LA\BCBSLAtoCotiviti. i attached the files Thanks, Karyn</t>
        </is>
      </c>
      <c r="D6" s="94" t="inlineStr">
        <is>
          <t>forgot to add this other files as well for the cleanup... bcsla_postcheck_pharmacy_incoming_1cotiviticom_yyyymmdd.txt bcsla_postcheck_pharmacy_incoming_1cotivitima_yyyymmdd.txt</t>
        </is>
      </c>
      <c r="E6" s="94" t="inlineStr"/>
      <c r="F6" s="93" t="inlineStr">
        <is>
          <t>Open</t>
        </is>
      </c>
      <c r="G6" s="93" t="inlineStr">
        <is>
          <t>2026-05-22</t>
        </is>
      </c>
    </row>
    <row r="7" ht="40" customHeight="1">
      <c r="A7" s="95" t="inlineStr">
        <is>
          <t>IT-3075679</t>
        </is>
      </c>
      <c r="B7" s="96" t="inlineStr">
        <is>
          <t>Ranger policy - Add members to external AD groups accordingly</t>
        </is>
      </c>
      <c r="C7" s="96" t="inlineStr">
        <is>
          <t>Requested members has to be added to CCV client external AD groups and RCA clients external AD groups</t>
        </is>
      </c>
      <c r="D7" s="96" t="inlineStr"/>
      <c r="E7" s="96" t="inlineStr"/>
      <c r="F7" s="95" t="inlineStr">
        <is>
          <t>Open</t>
        </is>
      </c>
      <c r="G7" s="95" t="inlineStr">
        <is>
          <t>2026-05-22</t>
        </is>
      </c>
    </row>
    <row r="8" ht="40" customHeight="1">
      <c r="A8" s="93" t="inlineStr">
        <is>
          <t>IT-3075675</t>
        </is>
      </c>
      <c r="B8" s="94" t="inlineStr">
        <is>
          <t>Caresource New market RCA Investigation</t>
        </is>
      </c>
      <c r="C8" s="94" t="inlineStr">
        <is>
          <t>CareSource is adding a new market (FL TriCare) to their data feed. Below are the details: Payer short CSTRI, which will map to ClientLOB Insurance ID is CSTC which will map to GroupNum LOB is Federal which will map as FED to ClientDiv Test file received (see attached image) CnlyExp is 24 months from paid date CnlyLap is 30 days from paid date Need test file made available in Hue for Ops sign off and validation the above has been put into place. Once sign off is received, the client will send a backsweep file back to 1/1/2026</t>
        </is>
      </c>
      <c r="D8" s="94" t="inlineStr"/>
      <c r="E8" s="94" t="inlineStr"/>
      <c r="F8" s="93" t="inlineStr">
        <is>
          <t>Open</t>
        </is>
      </c>
      <c r="G8" s="93" t="inlineStr">
        <is>
          <t>2026-05-22</t>
        </is>
      </c>
    </row>
    <row r="9" ht="40" customHeight="1">
      <c r="A9" s="95" t="inlineStr">
        <is>
          <t>IT-3072799</t>
        </is>
      </c>
      <c r="B9" s="96" t="inlineStr">
        <is>
          <t>MOLHC - Need to identify SNF/IRF data cor CCV</t>
        </is>
      </c>
      <c r="C9" s="96" t="inlineStr">
        <is>
          <t>I am working on CCV Molina (MOLHC) SNF and IRF expansion. We want to ensure that we are getting SNF/IRF claims in raw data before we reach out to the client. This is the logic to identify SNF and IRF claims: SNF PDPM Logic: Bill Type 021% HCPCS code starts with B, C, D, E, F, G, I, J, K, M, N or O * HCPCS code has a 2nd character as B, C,D, E,F,G,H, I, J, K,or L HCPCS code has a 3rd character as A, B, C, D, E, F, G, H, L, R, S, T, V or W HCPCS code has a 4th character as A, B, C or D SNF Per Diem logic looks for: Revenue Code: 0191,0192,0193 or 0194 (with or without leading zero) IRF PPS logic looks for: HCPCS code starts with A, B, C or D (CPT code in Claim Lines) HCPCS codes last four characters are numeric between 0101 and 5104 or 9999 IRF Per Diem logic looks for: Revenue Code is in 0024, 0118, 0128, 0138, 0148 or 0158 (with or without leading zero) (rev_code in claim lines) Based on these criteria, can Nile support team confirm if we are getting SNF/IRF data? if possible, can we get a raw data file for validation? I have a meeting with client Next week Tuesday, if I can get this information prior to that so I can prepare to talk to them.</t>
        </is>
      </c>
      <c r="D9" s="96" t="inlineStr">
        <is>
          <t>Shared raw file schema, query results and sample raw file</t>
        </is>
      </c>
      <c r="E9" s="96" t="inlineStr"/>
      <c r="F9" s="95" t="inlineStr">
        <is>
          <t>In Progress (HD1)</t>
        </is>
      </c>
      <c r="G9" s="95" t="inlineStr">
        <is>
          <t>2026-05-21</t>
        </is>
      </c>
    </row>
    <row r="10" ht="40" customHeight="1">
      <c r="A10" s="93" t="inlineStr">
        <is>
          <t>IT-3072670</t>
        </is>
      </c>
      <c r="B10" s="94" t="inlineStr">
        <is>
          <t>HCSC_BackFill_Set_5_files process.</t>
        </is>
      </c>
      <c r="C10" s="94" t="inlineStr"/>
      <c r="D10" s="94" t="inlineStr"/>
      <c r="E10" s="94" t="inlineStr"/>
      <c r="F10" s="93" t="inlineStr">
        <is>
          <t>In Progress</t>
        </is>
      </c>
      <c r="G10" s="93" t="inlineStr">
        <is>
          <t>2026-05-21</t>
        </is>
      </c>
    </row>
    <row r="11" ht="40" customHeight="1">
      <c r="A11" s="95" t="inlineStr">
        <is>
          <t>IT-3071800</t>
        </is>
      </c>
      <c r="B11" s="96" t="inlineStr">
        <is>
          <t>Copy files From Nile Prod Raw path to Nile QC Raw path - UHC-CSP</t>
        </is>
      </c>
      <c r="C11" s="96" t="inlineStr">
        <is>
          <t>Hi Team, Could you please copy all the data for the date given below from the Nile PROD raw path to the Nile QC raw path? 20260503 20260510 Nile PROD RAW PATH (Source): /dataingestionprod/raw/restricted/19-uhc-csp Nile QC RAW PATH (Target): /dataingestionqc/raw/restricted/19-uhc-csp Once copied to QC, the owner should be set to "svcpnilediqcraw" and group should be set to "qcunrestricted" and permissions should be 750.</t>
        </is>
      </c>
      <c r="D11" s="96" t="inlineStr">
        <is>
          <t>Hi Pati, Jagadeesh Chandra Files copied Thanks Satish Devatha</t>
        </is>
      </c>
      <c r="E11" s="96" t="inlineStr">
        <is>
          <t>Files copied</t>
        </is>
      </c>
      <c r="F11" s="95" t="inlineStr">
        <is>
          <t>Closed</t>
        </is>
      </c>
      <c r="G11" s="95" t="inlineStr">
        <is>
          <t>2026-05-20</t>
        </is>
      </c>
    </row>
    <row r="12" ht="40" customHeight="1">
      <c r="A12" s="93" t="inlineStr">
        <is>
          <t>IT-3071197</t>
        </is>
      </c>
      <c r="B12" s="94" t="inlineStr">
        <is>
          <t>Security Health Batch Processing TAT Report (April 2026)</t>
        </is>
      </c>
      <c r="C12" s="94" t="inlineStr">
        <is>
          <t>Hi Nile Team, Please find attached the Security Health Batch Processing TAT report for April 2026. We have missed the SLA for maximum response time TAT—specifically, two files had an initial response time greater than 12 hours, with one reaching approximately 39 hours. Could you please review the file processing TAT and share your feedback or any insights you may have? Thank you for your assistance. Thanks, Muthu</t>
        </is>
      </c>
      <c r="D12" s="94" t="inlineStr">
        <is>
          <t>SHPWI Monthly Initial Response Turnaround Time Report - Apr-2026.xlsx (68 kB)</t>
        </is>
      </c>
      <c r="E12" s="94" t="inlineStr"/>
      <c r="F12" s="93" t="inlineStr">
        <is>
          <t>In Progress (HD1)</t>
        </is>
      </c>
      <c r="G12" s="93" t="inlineStr">
        <is>
          <t>2026-05-20</t>
        </is>
      </c>
    </row>
    <row r="13" ht="40" customHeight="1">
      <c r="A13" s="95" t="inlineStr">
        <is>
          <t>IT-3068756</t>
        </is>
      </c>
      <c r="B13" s="96" t="inlineStr">
        <is>
          <t>CEPNE :: CEPNE Inpatient 12p :: 5/19/2026</t>
        </is>
      </c>
      <c r="C13" s="96" t="inlineStr">
        <is>
          <t>Hi Nile team we have one CEPNE failure. Can you please inform the client and have them send a replacement file? cepne_inpatient_incoming_12p Files Processed - File Name (No. Lines in File): ---------------------------------------------------------------------------------------------------- cepne_inpatient_incoming_12p (1) Total Lines Processed for Run : 1 File Processing Information: ---------------------------------------------------------------------------------------------------- File : cepne_inpatient_incoming_12p.05-19-2026_1400 QA Status : FAILED Reason : FAILED - Excessive failed lines (~100%) The QA Log: QA Test Name: dos2unix_check Pre/Post Run: 0 Result: PASSED QA Test Name: zero_length Pre/Post Run: 0 Result: PASSED QA Test Name: is_headtrail_hdr Pre/Post Run: 0 Result: PASSED QA Test Name: is_headtrail_tlr Pre/Post Run: 0 Result: PASSED QA Test Name: is_headtrail_multi Pre/Post Run: 0 Result: PASSED QA Test Name: header_payer Pre/Post Run: 0 Result: PASSED QA Test Name: nametype_match Pre/Post Run: 0 Result: PASSED QA Test Name: linetrail_match Pre/Post Run: 0 Result: PASSED QA Test Name: already_run Pre/Post Run: 0 Result: PASSED QA Test Name: java_check Pre/Post Run: 0 Result: PASSED QA Test Name: excessive_fails Pre/Post Run: 1 Result: FAILED - Excessive failed lines (~100%) The Run Results Log: PayerShort: CEPNE MemberId: U2029548801 DependentId: TaxId: 470376552 ProviderId: P100052039380003 ClaimId: Z105NEE05035 Error: DISCHARGE_DATE is blank CEPNE|T|1185|20260519|1|P TRAILER|1|20260519|015303</t>
        </is>
      </c>
      <c r="D13" s="96" t="inlineStr">
        <is>
          <t>The client is notified about the failure. Email ref: Re: CEPNE :: CEPNE Inpatient 12p :: 5/19/2026 waiting for client to send the replacement file</t>
        </is>
      </c>
      <c r="E13" s="96" t="inlineStr"/>
      <c r="F13" s="95" t="inlineStr">
        <is>
          <t>On Hold</t>
        </is>
      </c>
      <c r="G13" s="95" t="inlineStr">
        <is>
          <t>2026-05-19</t>
        </is>
      </c>
    </row>
    <row r="14" ht="40" customHeight="1">
      <c r="A14" s="93" t="inlineStr">
        <is>
          <t>IT-3066904</t>
        </is>
      </c>
      <c r="B14" s="94" t="inlineStr">
        <is>
          <t>Please provide HUE location of BCBSND GDF Data Files</t>
        </is>
      </c>
      <c r="C14" s="94" t="inlineStr">
        <is>
          <t>Please provide HUE location of BCBSND GDF Data Files used to load FWAM historical data (Jan 2023 - Sep 2025 Load Dates): Member: fwa_bcsnd_member_incoming_yyccmmdd_1.txt fwa_bcsnd_memberaddress_incoming_yyccmmdd_1.txt fwa_bcsnd_memberenrollment_incoming_yyccmmdd_1.txt Provider: fwa_bcsnd_providernetwork_incoming_yyccmmdd_1.txt fwa_bcsnd_provideraddress_incoming_yyccmmdd_1.txt fwa_bcsnd_provider_incoming_yyccmmdd_1.txt Professional/Institutional fwa_bcsnd_backsweep_postcheck_medical_claims_incoming_yyccmmdd_1.txt Pharmacy: fwa_bcsnd_backsweep_pharmacy_claims_incoming_yyccmmdd_1.txt Please provide HUE location of BCBSND GDF Data Files used to load monthly FWAM data, post historical loads (starting with Oct 2025 Load Dates and forward): Member: bcsnd_memberenrollment_incoming_yyccmmdd_1.txt bcsnd_member_incoming_yyccmmdd_1.txt bcsnd_memberaddress_incoming_yyccmmdd_1.txt Provider: bcsnd_providernetwork_incoming_yyccmmdd_1.txt bcsnd_provideraddress_incoming_yyccmmdd_1.txt bcsnd_provider_incoming_yyccmmdd_1.txt Professional/Institutional bcsnd_postcheck_medical_claims_incoming_yyccmmdd_1.txt Pharmacy: bcsnd_postcheck_pharmacy_claims_incoming_yyccmmdd_1.txt Please let me know if you have any questions. Thank you.</t>
        </is>
      </c>
      <c r="D14" s="94" t="inlineStr">
        <is>
          <t>Hi Herman, Donna please find the sample paths for reference FWA MEMBER : /dataingestionprod/restricted/179-BCBS_ND-OSCAR/Processed/GDF/member/enrollment/20260513_1 /dataingestionprod/restricted/179-BCBS_ND-OSCAR/Processed/GDF/member/member/20260513_1 /dataingestionprod/restricted/179-BCBS_ND-OSCAR/Processed/GDF/member/address/20260513_1 FWA PROVIDER : /dataingestionprod/restricted/179-BCBS_ND-OSCAR/Processed/GDF/provider/provider/20260513_1 /dataingestionprod/restricted/179-BCBS_ND-OSCAR/Processed/GDF/provider/network/20260513_1 /dataingestionprod/restricted/179-BCBS_ND-OSCAR/Processed/GDF/provider/address/20260513_1 FWA PHARMACY : /dataingestionprod/restricted/179-BCBS_ND-OSCAR/Processed/GDF/claims/pharmacy/postcheck/20260513_1 FWA professional : /dataingestionprod/restricted/179-BCBS_ND-OSCAR/Processed/GDF/claims/professional/history/20260513_1 FWA institutional : /dataingestionprod/restricted/179-BCBS_ND-OSCAR/Processed/GDF/claims/institutional/history/20260513_1 I will confirm path for files on 05/22/26. Thank you.</t>
        </is>
      </c>
      <c r="E14" s="94" t="inlineStr"/>
      <c r="F14" s="93" t="inlineStr">
        <is>
          <t>In Progress (HD1)</t>
        </is>
      </c>
      <c r="G14" s="93" t="inlineStr">
        <is>
          <t>2026-05-19</t>
        </is>
      </c>
    </row>
    <row r="15" ht="40" customHeight="1">
      <c r="A15" s="95" t="inlineStr">
        <is>
          <t>IT-3066626</t>
        </is>
      </c>
      <c r="B15" s="96" t="inlineStr">
        <is>
          <t>Please copy the data of Health First from source paths to Nile paths</t>
        </is>
      </c>
      <c r="C15" s="96" t="inlineStr">
        <is>
          <t>can you please copy the above 2 files from the below path \\gad1pcah500nas01.data.nas.cotiviti.com\2026\testing\archive\hfhrp\raw_data\history to \\norchcnasprd01.data.nas.norwalk01.ct.ccaintranet.net\NileClientData\Restricted\healthfirst_hrp</t>
        </is>
      </c>
      <c r="D15" s="96" t="inlineStr">
        <is>
          <t>It has to be raised to windows engineering I raised to PS team so cancelling the request</t>
        </is>
      </c>
      <c r="E15" s="96" t="inlineStr"/>
      <c r="F15" s="95" t="inlineStr">
        <is>
          <t>Cancelled</t>
        </is>
      </c>
      <c r="G15" s="95" t="inlineStr">
        <is>
          <t>2026-05-19</t>
        </is>
      </c>
    </row>
    <row r="16" ht="40" customHeight="1">
      <c r="A16" s="93" t="inlineStr">
        <is>
          <t>IT-3066419</t>
        </is>
      </c>
      <c r="B16" s="94" t="inlineStr">
        <is>
          <t>bsbs_la weekly pipeline failures</t>
        </is>
      </c>
      <c r="C16" s="94" t="inlineStr">
        <is>
          <t>bcbs_la weekly pipelines multiple failures for 20260518.</t>
        </is>
      </c>
      <c r="D16" s="94" t="inlineStr">
        <is>
          <t>Hi, It Seems files are corrupted and tried rerunning the pipelines after respooling the file. Still facing the same issue. When checked raw files, they are 0 byte files and need replacement files to process. Informed EDM team engineer Karyn, she is working on getting the files. File names: ClaimNetworkIDCode_05182026.ZIP ERPProductCode_05182026.ZIP LineOfBusinessCode_05182026.ZIP NetworkIDCode_05182026.ZIP PlanDetailCode_05182026.ZIP ProviderCategoryCode_05182026.ZIP ProviderSpecialtyCode_05182026.ZIP ProviderTypeCode_05182026.ZIP</t>
        </is>
      </c>
      <c r="E16" s="94" t="inlineStr">
        <is>
          <t>pipelines are completed</t>
        </is>
      </c>
      <c r="F16" s="93" t="inlineStr">
        <is>
          <t>Closed</t>
        </is>
      </c>
      <c r="G16" s="93" t="inlineStr">
        <is>
          <t>2026-05-19</t>
        </is>
      </c>
    </row>
    <row r="17" ht="40" customHeight="1">
      <c r="A17" s="95" t="inlineStr">
        <is>
          <t>IT-3065992</t>
        </is>
      </c>
      <c r="B17" s="96" t="inlineStr">
        <is>
          <t>rccv-caresource-facets-history_institutional_claims_custom_GDF2_13_CDF2_13 failed in Fail Stage-schema_validation_error [fail] stage</t>
        </is>
      </c>
      <c r="C17" s="96" t="inlineStr">
        <is>
          <t>Pipeline: rccv-caresource-facets-history_institutional_claims_custom_GDF2_13_CDF2_13 failed in Fail Stage-schema_validation_error [fail] stage, Can you please have a analysis on the data file once for the issue. if minor issue, if we can override the parameters and proceed ahead for this?</t>
        </is>
      </c>
      <c r="D17" s="96" t="inlineStr">
        <is>
          <t>There is only 1 rejected record. Need to get confirmation. I see there is an email for confirmation: Client file schema validation error - 20260513_01 - prod - rccv-caresource-facets-history_institutional_claims_custom_GDF2_13_CDF2_13</t>
        </is>
      </c>
      <c r="E17" s="96" t="inlineStr">
        <is>
          <t>file processed successfully.</t>
        </is>
      </c>
      <c r="F17" s="95" t="inlineStr">
        <is>
          <t>Closed</t>
        </is>
      </c>
      <c r="G17" s="95" t="inlineStr">
        <is>
          <t>2026-05-18</t>
        </is>
      </c>
    </row>
    <row r="18" ht="40" customHeight="1">
      <c r="A18" s="93" t="inlineStr">
        <is>
          <t>IT-3065776</t>
        </is>
      </c>
      <c r="B18" s="94" t="inlineStr">
        <is>
          <t>Oscar PCCV TBA Files</t>
        </is>
      </c>
      <c r="C18" s="94" t="inlineStr">
        <is>
          <t>Hello, Our team CRS support received IT-3054599 for OSCAR PCCV TBA file. Can you confirm if we received the data from the client for this date? TBA File was not loaded to production dated 4/18/2026, 4/19/2026, and 2/1/2026 for Oscar PCCV. Client is requesting 2 claims (84WJKM8P and AEN4EYJG) appear to be aging and not viewable in CAT to be reviewed after additional research the user is not seeing files for the dates mentioned above.</t>
        </is>
      </c>
      <c r="D18" s="94" t="inlineStr">
        <is>
          <t>Hi Dhruvi, We never received the tba files from Oscar client on 2/1, 4/18, and 4/19 and we had escalated with them. Thank you melly</t>
        </is>
      </c>
      <c r="E18" s="94" t="inlineStr"/>
      <c r="F18" s="93" t="inlineStr">
        <is>
          <t>In Progress (HD1)</t>
        </is>
      </c>
      <c r="G18" s="93" t="inlineStr">
        <is>
          <t>2026-05-18</t>
        </is>
      </c>
    </row>
    <row r="19" ht="40" customHeight="1">
      <c r="A19" s="95" t="inlineStr">
        <is>
          <t>IT-3065232</t>
        </is>
      </c>
      <c r="B19" s="96" t="inlineStr">
        <is>
          <t>bcbs_mn file back to ftp</t>
        </is>
      </c>
      <c r="C19" s="96" t="inlineStr">
        <is>
          <t>hello, i need this file back to the ftp "Y:\Ftp\B2B\BCBS_MN\Incoming\BCBSMN_Vendor_Offshore_Restrictions_Grid_20260513.txt" engineering team needs to have access to this as it is a new file and they working on implementing it into the downstream.</t>
        </is>
      </c>
      <c r="D19" s="96" t="inlineStr"/>
      <c r="E19" s="96" t="inlineStr">
        <is>
          <t>restored the file to FTP</t>
        </is>
      </c>
      <c r="F19" s="95" t="inlineStr">
        <is>
          <t>Closed</t>
        </is>
      </c>
      <c r="G19" s="95" t="inlineStr">
        <is>
          <t>2026-05-18</t>
        </is>
      </c>
    </row>
    <row r="20" ht="40" customHeight="1">
      <c r="A20" s="93" t="inlineStr">
        <is>
          <t>IT-3064950</t>
        </is>
      </c>
      <c r="B20" s="94" t="inlineStr">
        <is>
          <t>Copy files From Nile Prod Raw path to Nile QC Raw path - Aetna Trad</t>
        </is>
      </c>
      <c r="C20" s="94" t="inlineStr">
        <is>
          <t>Hi Team, Could you please copy the below mentioned files from the Nile PROD location to the Nile QC location? for the last week files, 05/11/2026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20" s="94" t="inlineStr">
        <is>
          <t>I ran the following commands and verified the data matches. Closing this ticket. hdfs dfs -du /dataingestionprod/raw/unrestricted/5-aetna-traditional hadoop distcp /dataingestionprod/raw/unrestricted/5-aetna-traditional/20260513 /dataingestionqc/raw/unrestricted/5-aetna-traditional/ hadoop distcp /dataingestionprod/raw/unrestricted/5-aetna-traditional/20260514 /dataingestionqc/raw/unrestricted/5-aetna-traditional/ hadoop distcp /dataingestionprod/raw/unrestricted/5-aetna-traditional/20260515 /dataingestionqc/raw/unrestricted/5-aetna-traditional/ hadoop distcp /dataingestionprod/raw/unrestricted/5-aetna-traditional/20260516 /dataingestionqc/raw/unrestricted/5-aetna-traditional/ hdfs dfs -chown -R svcpnilediqcraw /dataingestionqc/raw/unrestricted/5-aetna-traditional hdfs dfs -chgrp -R qcunrestricted /dataingestionqc/raw/unrestricted/5-aetna-traditional hdfs dfs -chmod -R 750 /dataingestionqc/raw/unrestricted/5-aetna-traditional hdfs dfs -du /dataingestionprod/raw/unrestricted/5-aetna-traditional/ | grep 20260511 hdfs dfs -du /dataingestionqc/raw/unrestricted/5-aetna-traditional/ | grep 20260511 hdfs dfs -du /dataingestionprod/raw/unrestricted/5-aetna-traditional/ | grep 20260513 hdfs dfs -du /dataingestionqc/raw/unrestricted/5-aetna-traditional/ | grep 20260513 hdfs dfs -du /dataingestionprod/raw/unrestricted/5-aetna-traditional/ | grep 20260514 hdfs dfs -du /dataingestionqc/raw/unrestricted/5-aetna-traditional/ | grep 20260514 hdfs dfs -du /dataingestionprod/raw/unrestricted/5-aetna-traditional/ | grep 20260515 hdfs dfs -du /dataingestionqc/raw/unrestricted/5-aetna-traditional/ | grep 20260515 hdfs dfs -du /dataingestionprod/raw/unrestricted/5-aetna-traditional/ | grep 20260516 hdfs dfs -du /dataingestionqc/raw/unrestricted/5-aetna-traditional/ | grep 20260516 [kevin.birney@usapnlhdpe01 ~] &lt;PROD&gt;$ hdfs dfs -du /dataingestionprod/raw/unrestricted/5-aetna-traditional/ | grep 20260511 19504703912 58514111736 /dataingestionprod/raw/unrestricted/5-aetna-traditional/20260511 [kevin.birney@usapnlhdpe01 ~] &lt;PROD&gt;$ hdfs dfs -du /dataingestionqc/raw/unrestricted/5-aetna-traditional/ | grep 20260511 19504703912 58514111736 /dataingestionqc/raw/unrestricted/5-aetna-traditional/20260511 [kevin.birney@usapnlhdpe01 ~] &lt;PROD&gt;$ hdfs dfs -du /dataingestionprod/raw/unrestricted/5-aetna-traditional/ | grep 20260513 23620781690 70862345070 /dataingestionprod/raw/unrestricted/5-aetna-traditional/20260513 [kevin.birney@usapnlhdpe01 ~] &lt;PROD&gt;$ hdfs dfs -du /dataingestionqc/raw/unrestricted/5-aetna-traditional/ | grep 20260513 23620781690 70862345070 /dataingestionqc/raw/unrestricted/5-aetna-traditional/20260513 [kevin.birney@usapnlhdpe01 ~] &lt;PROD&gt;$ hdfs dfs -du /dataingestionprod/raw/unrestricted/5-aetna-traditional/ | grep 20260514 44409552494 133228657482 /dataingestionprod/raw/unrestricted/5-aetna-traditional/20260514 [kevin.birney@usapnlhdpe01 ~] &lt;PROD&gt;$ hdfs dfs -du /dataingestionqc/raw/unrestricted/5-aetna-traditional/ | grep 20260514 44409552494 133228657482 /dataingestionqc/raw/unrestricted/5-aetna-traditional/20260514 [kevin.birney@usapnlhdpe01 ~] &lt;PROD&gt;$ hdfs dfs -du /dataingestionprod/raw/unrestricted/5-aetna-traditional/ | grep 20260515 19649289706 58947869118 /dataingestionprod/raw/unrestricted/5-aetna-traditional/20260515 [kevin.birney@usapnlhdpe01 ~] &lt;PROD&gt;$ hdfs dfs -du /dataingestionqc/raw/unrestricted/5-aetna-traditional/ | grep 20260515 19649289706 58947869118 /dataingestionqc/raw/unrestricted/5-aetna-traditional/20260515 [kevin.birney@usapnlhdpe01 ~] &lt;PROD&gt;$ hdfs dfs -du /dataingestionprod/raw/unrestricted/5-aetna-traditional/ | grep 20260516 1585538132 4756614396 /dataingestionprod/raw/unrestricted/5-aetna-traditional/20260516 [kevin.birney@usapnlhdpe01 ~] &lt;PROD&gt;$ hdfs dfs -du /dataingestionqc/raw/unrestricted/5-aetna-traditional/ | grep 20260516 1585538132 4756614396 /dataingestionqc/raw/unrestricted/5-aetna-traditional/20260516 [kevin.birney@usapnlhdpe01 ~] &lt;PROD&gt;$</t>
        </is>
      </c>
      <c r="E20" s="94" t="inlineStr">
        <is>
          <t>all data copied as requested.</t>
        </is>
      </c>
      <c r="F20" s="93" t="inlineStr">
        <is>
          <t>Closed</t>
        </is>
      </c>
      <c r="G20" s="93" t="inlineStr">
        <is>
          <t>2026-05-18</t>
        </is>
      </c>
    </row>
    <row r="21" ht="40" customHeight="1">
      <c r="A21" s="95" t="inlineStr">
        <is>
          <t>IT-3064878</t>
        </is>
      </c>
      <c r="B21" s="96" t="inlineStr">
        <is>
          <t>Premera - Shared Admin File Line Failures 5/15/26</t>
        </is>
      </c>
      <c r="C21" s="96" t="inlineStr">
        <is>
          <t>Premera received an inquiry from Cotiviti regarding the following files that were sent on 5/15/26. Looks like the history files are for the Shared Admin line of business. Could I get additional information about the cause of the “excessive line failures”? prebc_history_institutional_incoming_20260514_1.txt.pgp prebc_history_professional_incoming_20260514_1.txt.pgp</t>
        </is>
      </c>
      <c r="D21" s="96" t="inlineStr">
        <is>
          <t>Spinelli, Adam ---------------------------------------------------------------------------------------------------------------------------------------------------- prebc_history_professional_incoming_20260514_1.txt.pgp prebc_history_incoming_1.05-15-2026_1910 PayerShort: PBCSA Error parsing field CLAIM_BILLED_AMOUNT with format Double occurs 1504 times ---------------------------------------------------------------------------------------------------------------------------------------------------- prebc_history_institutional_incoming_20260514_1.txt.pgp prebc_ophistory_incoming_1.05-15-2026_1910 PayerShort: PBCSA Error parsing field VALUE_AMOUNT_1 (VALUE_AMOUNT_01) with format Double occurs 19 times Error parsing field SUB_NONCOVERED_AMOUNT with format Double occurs 136 times Error parsing field CLAIM_BILLED_AMOUNT with format Double occurs 196 times Hi Keaton, Please see the below feedback from Premera: Can you map the below fields to the field names in the GDF format for us? The fields below don’t map our documentation. An example from the file would also help us troubleshoot. CLAIM_BILLED_AMOUNT VALUE_AMOUNT_1 (VALUE_AMOUNT_01) SUB_NONCOVERED_AMOUNT Supplied mappings and some examples to Adam</t>
        </is>
      </c>
      <c r="E21" s="96" t="inlineStr"/>
      <c r="F21" s="95" t="inlineStr">
        <is>
          <t>Open</t>
        </is>
      </c>
      <c r="G21" s="95" t="inlineStr">
        <is>
          <t>2026-05-18</t>
        </is>
      </c>
    </row>
    <row r="22" ht="40" customHeight="1">
      <c r="A22" s="93" t="inlineStr">
        <is>
          <t>IT-3064099</t>
        </is>
      </c>
      <c r="B22" s="94" t="inlineStr">
        <is>
          <t>Aetna HRP Daily Claim File was not loaded</t>
        </is>
      </c>
      <c r="C22" s="94" t="inlineStr">
        <is>
          <t>Hello team on 5/12, we received 2 claims files, but only one file was loaded, file named: VENDOR.CB-CLAIMS-EXTRACT.260512221248 was not loaded would you please help load this file into table: [AetnaDataRawHRP] . [dbo] . [Claims_Load_Weekly_20260512] Also, please help investigate why is this file not loaded, i remember the nile pipeline was able to load more than one claim file if multiple file was received. Please leave this ticket open until the issue is found, or engineer is confirmed the pipeline is fixed and able to load more than one claim file per night when multiple file is received</t>
        </is>
      </c>
      <c r="D22" s="94" t="inlineStr"/>
      <c r="E22" s="94" t="inlineStr"/>
      <c r="F22" s="93" t="inlineStr">
        <is>
          <t>Active</t>
        </is>
      </c>
      <c r="G22" s="93" t="inlineStr">
        <is>
          <t>2026-05-18</t>
        </is>
      </c>
    </row>
    <row r="23" ht="40" customHeight="1">
      <c r="A23" s="95" t="inlineStr">
        <is>
          <t>IT-3063906</t>
        </is>
      </c>
      <c r="B23" s="96" t="inlineStr">
        <is>
          <t>Copy HCSC Data from Nile Dev to Nile Prod</t>
        </is>
      </c>
      <c r="C23" s="96" t="inlineStr">
        <is>
          <t>Hello Team, Reason for this request: HCSC ARK CDF has received sign-off from the business and we are now planning to transition this client to the Production Support team. As part of the checklist document, we need to copy the production data from the Dev environments to Production. I have attached the document containing all the relevant paths. Could you please help us with the data copy. Business Sign-Off Received: ✅ Yes Nile Peer Review: ✅ Yes Entities: Claims, Member, Provider and Postpay exclusion Data Source Environment: NILE DEV Target Environment: NILE PROD Data Range/Volumes: 20260301 - 20260429 (Monthly) Additional Notes: If the data already exists in prod, Please leave them as it is. Note: Please retain the user/group permissions Date Needed By: 25/05/2026</t>
        </is>
      </c>
      <c r="D23" s="96" t="inlineStr">
        <is>
          <t>HCSC-HCSC_data_copy from dev to prod.xlsx (16 kB) Hi Del Rosario, Sylma Joy , Could you please review and approve the below request? Approved Hi Bongu, Chandramouli Files copied please verify and let me know i will update the permissions Thanks</t>
        </is>
      </c>
      <c r="E23" s="96" t="inlineStr">
        <is>
          <t>Files Copied and updated permissions too</t>
        </is>
      </c>
      <c r="F23" s="95" t="inlineStr">
        <is>
          <t>Closed</t>
        </is>
      </c>
      <c r="G23" s="95" t="inlineStr">
        <is>
          <t>2026-05-18</t>
        </is>
      </c>
    </row>
    <row r="24" ht="40" customHeight="1">
      <c r="A24" s="93" t="inlineStr">
        <is>
          <t>IT-3063163</t>
        </is>
      </c>
      <c r="B24" s="94" t="inlineStr">
        <is>
          <t>Spark3 Upgrade: Refactor the pipeline rca-gateway-DE-claim-History-Chhosp for Add_months function.</t>
        </is>
      </c>
      <c r="C24" s="94" t="inlineStr">
        <is>
          <t>Spark3 Upgrade: Refactor the pipeline mentioned below for Add_months function. name id latest_versions rca-gateway-DE-claim-History-Chhosp 2021-10-14-3992260 1</t>
        </is>
      </c>
      <c r="D24" s="94" t="inlineStr">
        <is>
          <t>I have verified the below code for spark 3 and tested in the dev envrionment.</t>
        </is>
      </c>
      <c r="E24" s="94" t="inlineStr"/>
      <c r="F24" s="93" t="inlineStr">
        <is>
          <t>In Progress (HD1)</t>
        </is>
      </c>
      <c r="G24" s="93" t="inlineStr">
        <is>
          <t>2026-05-17</t>
        </is>
      </c>
    </row>
    <row r="25" ht="40" customHeight="1">
      <c r="A25" s="95" t="inlineStr">
        <is>
          <t>IT-3063162</t>
        </is>
      </c>
      <c r="B25" s="96" t="inlineStr">
        <is>
          <t>Spark3 Upgrade: Refactor the pipeline RCCV-HighMark-HighMark-Claims for Add_months function.</t>
        </is>
      </c>
      <c r="C25" s="96" t="inlineStr">
        <is>
          <t>Spark3 Upgrade: Refactor the pipeline mentioned below for Add_months function. name id latest_versions RCCV-HighMark-HighMark-Claims 2021-02-04-84804431 2.12</t>
        </is>
      </c>
      <c r="D25" s="96" t="inlineStr"/>
      <c r="E25" s="96" t="inlineStr">
        <is>
          <t>Logic change is not required as we are hardcoding date value as 19</t>
        </is>
      </c>
      <c r="F25" s="95" t="inlineStr">
        <is>
          <t>Closed</t>
        </is>
      </c>
      <c r="G25" s="95" t="inlineStr">
        <is>
          <t>2026-05-17</t>
        </is>
      </c>
    </row>
    <row r="26" ht="40" customHeight="1">
      <c r="A26" s="93" t="inlineStr">
        <is>
          <t>IT-3063160</t>
        </is>
      </c>
      <c r="B26" s="94" t="inlineStr">
        <is>
          <t>Spark3 Upgrade: Refactor the pipeline rca-highmark-highmark-claims-Prod for Add_months function.</t>
        </is>
      </c>
      <c r="C26" s="94" t="inlineStr">
        <is>
          <t>Spark3 Upgrade: Refactor the pipeline mentioned below for Add_months function. name id latest_versions rca-highmark-highmark-claims-Prod 2020-09-09-45624296 5.16</t>
        </is>
      </c>
      <c r="D26" s="94" t="inlineStr">
        <is>
          <t>Started looking in to the pipelines and understanding the logic to generate new spark3 logic.</t>
        </is>
      </c>
      <c r="E26" s="94" t="inlineStr"/>
      <c r="F26" s="93" t="inlineStr">
        <is>
          <t>In Progress (HD1)</t>
        </is>
      </c>
      <c r="G26" s="93" t="inlineStr">
        <is>
          <t>2026-05-17</t>
        </is>
      </c>
    </row>
    <row r="27" ht="40" customHeight="1">
      <c r="A27" s="95" t="inlineStr">
        <is>
          <t>IT-3063158</t>
        </is>
      </c>
      <c r="B27" s="96" t="inlineStr">
        <is>
          <t>Spark3 Upgrade: Refactor the pipeline rca-gateway-DE-claims-DataSpooler-No for Add_months function.</t>
        </is>
      </c>
      <c r="C27" s="96" t="inlineStr">
        <is>
          <t>Spark3 Upgrade: Refactor the pipeline mentioned below for Add_months function. name id latest_versions rca-gateway-DE-claims-DataSpooler-No 2021-01-20-53856390 1.9</t>
        </is>
      </c>
      <c r="D27" s="96" t="inlineStr"/>
      <c r="E27" s="96" t="inlineStr"/>
      <c r="F27" s="95" t="inlineStr">
        <is>
          <t>Open</t>
        </is>
      </c>
      <c r="G27" s="95" t="inlineStr">
        <is>
          <t>2026-05-17</t>
        </is>
      </c>
    </row>
    <row r="28" ht="40" customHeight="1">
      <c r="A28" s="93" t="inlineStr">
        <is>
          <t>IT-3063156</t>
        </is>
      </c>
      <c r="B28" s="94" t="inlineStr">
        <is>
          <t>Spark3 Upgrade: Refactor the pipeline rca_emblem_emblem_claims for Add_months function.</t>
        </is>
      </c>
      <c r="C28" s="94" t="inlineStr">
        <is>
          <t>Spark3 Upgrade: Refactor the pipeline mentioned below for Add_months function. name id latest_versions rca_emblem_emblem_claims 2021-05-24-85378485 3.9</t>
        </is>
      </c>
      <c r="D28" s="94" t="inlineStr">
        <is>
          <t>Pending peer review validation.</t>
        </is>
      </c>
      <c r="E28" s="94" t="inlineStr"/>
      <c r="F28" s="93" t="inlineStr">
        <is>
          <t>On Hold</t>
        </is>
      </c>
      <c r="G28" s="93" t="inlineStr">
        <is>
          <t>2026-05-17</t>
        </is>
      </c>
    </row>
    <row r="29" ht="40" customHeight="1">
      <c r="A29" s="95" t="inlineStr">
        <is>
          <t>IT-3063154</t>
        </is>
      </c>
      <c r="B29" s="96" t="inlineStr">
        <is>
          <t>Spark3 Upgrade: Refactor the pipeline rca_caresource_caresource_claims_fullrefresh_load for Add_months function.</t>
        </is>
      </c>
      <c r="C29" s="96" t="inlineStr">
        <is>
          <t>Spark3 Upgrade: Refactor the pipeline mentioned below for Add_months function. name id latest_versions rca_caresource_caresource_claims_fullrefresh_load 2022-12-18-130179160 1</t>
        </is>
      </c>
      <c r="D29" s="96" t="inlineStr"/>
      <c r="E29" s="96" t="inlineStr"/>
      <c r="F29" s="95" t="inlineStr">
        <is>
          <t>Open</t>
        </is>
      </c>
      <c r="G29" s="95" t="inlineStr">
        <is>
          <t>2026-05-17</t>
        </is>
      </c>
    </row>
    <row r="30" ht="40" customHeight="1">
      <c r="A30" s="93" t="inlineStr">
        <is>
          <t>IT-3063153</t>
        </is>
      </c>
      <c r="B30" s="94" t="inlineStr">
        <is>
          <t>Spark3 Upgrade: Refactor the pipeline rca_caresource_caresource_claims_incremental_load for Add_months function.</t>
        </is>
      </c>
      <c r="C30" s="94" t="inlineStr">
        <is>
          <t>Spark3 Upgrade: Refactor the pipeline mentioned below for Add_months function. name id latest_versions rca_caresource_caresource_claims_incremental_load 2021-04-14-23128344 2.9</t>
        </is>
      </c>
      <c r="D30" s="94" t="inlineStr"/>
      <c r="E30" s="94" t="inlineStr"/>
      <c r="F30" s="93" t="inlineStr">
        <is>
          <t>Open</t>
        </is>
      </c>
      <c r="G30" s="93" t="inlineStr">
        <is>
          <t>2026-05-17</t>
        </is>
      </c>
    </row>
    <row r="31" ht="40" customHeight="1">
      <c r="A31" s="95" t="inlineStr">
        <is>
          <t>IT-3062685</t>
        </is>
      </c>
      <c r="B31" s="96" t="inlineStr">
        <is>
          <t>ARD-Prod: Run the UhCsp dups pipeline for May - 2026 (pulling Apr - 2026 data) RCA Job</t>
        </is>
      </c>
      <c r="C31" s="96" t="inlineStr">
        <is>
          <t>ARD-Prod: Run the UhCsp dups pipeline for May - 2026 (pulling Apr - 2026 data) RCA Job</t>
        </is>
      </c>
      <c r="D31" s="96" t="inlineStr">
        <is>
          <t>Step 1 Updated the below parameters LoadDate=20260520 Min_Paid_Date=2026-04-01 Max_Paid_Date=2026-04-30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4870861-260504042830459-oozie-oozi-W Step 4 Job Completed QA checks are done. Send email to respective members</t>
        </is>
      </c>
      <c r="E31" s="96" t="inlineStr">
        <is>
          <t>Job Completed QA checks are done. Send email to respective members</t>
        </is>
      </c>
      <c r="F31" s="95" t="inlineStr">
        <is>
          <t>Closed</t>
        </is>
      </c>
      <c r="G31" s="95" t="inlineStr">
        <is>
          <t>2026-05-16</t>
        </is>
      </c>
    </row>
    <row r="32" ht="40" customHeight="1">
      <c r="A32" s="93" t="inlineStr">
        <is>
          <t>IT-3062684</t>
        </is>
      </c>
      <c r="B32" s="94" t="inlineStr">
        <is>
          <t>ARD-Prod May - 2026 Humana Retro Process</t>
        </is>
      </c>
      <c r="C32" s="94" t="inlineStr">
        <is>
          <t>ARD-Prod May - 2026 Humana Retro Process</t>
        </is>
      </c>
      <c r="D32" s="94" t="inlineStr">
        <is>
          <t>Received Cotiviti Global Exclusion report for 202605. prepared below 3 files using the Exclusion Report. Provider_Exclusions_202605.txt Taxgroup_Exclusions_202605.txt Clinical_Path_Provider_Exclusions_202605.txt Updated the Properties file and ran the job Currently job is running job: 4870604-260504042830459-oozie-oozi-W https://usapardhdpm03.cotiviti.com:8888/hue/jobbrowser#!id=4870604-260504042830459-oozie-oozi-W Humana job completed for 202605. Created Retro TBA files and uploaded to T1 server for processing Raised Ticket to PC Team. https://jiraet.cotiviti.com/plugins/servlet/desk/portal/7/IT-3077308</t>
        </is>
      </c>
      <c r="E32" s="94" t="inlineStr"/>
      <c r="F32" s="93" t="inlineStr">
        <is>
          <t>In Progress (HD1)</t>
        </is>
      </c>
      <c r="G32" s="93" t="inlineStr">
        <is>
          <t>2026-05-16</t>
        </is>
      </c>
    </row>
    <row r="33" ht="40" customHeight="1">
      <c r="A33" s="95" t="inlineStr">
        <is>
          <t>IT-3062366</t>
        </is>
      </c>
      <c r="B33" s="96" t="inlineStr">
        <is>
          <t>PREBC History Files Failure - 05/15/2026</t>
        </is>
      </c>
      <c r="C33" s="96" t="inlineStr">
        <is>
          <t>Pipelines: ppm-premera-bluecross-history_professional_claims_GDF2_2_CDF2_2_lean_ingestion ppm-premera-bluecross-history_institutional_claims_GDF2_2_CDF2_2_lean_ingestion File Processing Information: ---------------------------------------------------------------------------------------------------- File : prebc_history_incoming_1.05-15-2026_1910 QA Status : FAILED Reason : FAILED - Excessive failed lines (~100%) File Processing Information: ---------------------------------------------------------------------------------------------------- File : prebc_ophistory_incoming_1.05-15-2026_1910 QA Status : FAILED Reason : FAILED - Excessive failed lines (~100%)</t>
        </is>
      </c>
      <c r="D33" s="96" t="inlineStr">
        <is>
          <t>we found the issue and requested for replacement files. we successfully processed the pipelines and closed this ticket.</t>
        </is>
      </c>
      <c r="E33" s="96" t="inlineStr">
        <is>
          <t>we successfully processed the pipelines and closed this ticket.</t>
        </is>
      </c>
      <c r="F33" s="95" t="inlineStr">
        <is>
          <t>Closed</t>
        </is>
      </c>
      <c r="G33" s="95" t="inlineStr">
        <is>
          <t>2026-05-16</t>
        </is>
      </c>
    </row>
    <row r="34" ht="40" customHeight="1">
      <c r="A34" s="93" t="inlineStr">
        <is>
          <t>IT-3061834</t>
        </is>
      </c>
      <c r="B34" s="94" t="inlineStr">
        <is>
          <t>Please ingest file 9-12 for tba professional tba Devoted Health.</t>
        </is>
      </c>
      <c r="C34" s="94" t="inlineStr">
        <is>
          <t>Hi Nile PS Triage team, Would you please take a look at the email from Matt Rholl (external- client Devoted)? Re: [EXTERNAL] Re: Daily: Missing - Devoted TBA File for 20260515 Usually for Professional tba, we only received 8 files. But this evening, Matt mentioned that there are 4 additional files (9-12) that also need to be processed: devoh_tba_professional_incoming_20260515_9.gz devoh_tba_professional_incoming_20260515_10.gz devoh_tba_professional_incoming_20260515_11.gz devoh_tba_professional_incoming_20260515_12.gz Can we make sure that file 9-12 also getting processed? Thank you for your help, melly</t>
        </is>
      </c>
      <c r="D34" s="94" t="inlineStr">
        <is>
          <t>Files are processed</t>
        </is>
      </c>
      <c r="E34" s="94" t="inlineStr">
        <is>
          <t>Files are processed</t>
        </is>
      </c>
      <c r="F34" s="93" t="inlineStr">
        <is>
          <t>Closed</t>
        </is>
      </c>
      <c r="G34" s="93" t="inlineStr">
        <is>
          <t>2026-05-15</t>
        </is>
      </c>
    </row>
    <row r="35" ht="40" customHeight="1">
      <c r="A35" s="95" t="inlineStr">
        <is>
          <t>IT-3061734</t>
        </is>
      </c>
      <c r="B35" s="96" t="inlineStr">
        <is>
          <t>Please process this replacement file chcmd_tba_professional_incoming_1_20260506a</t>
        </is>
      </c>
      <c r="C35" s="96" t="inlineStr">
        <is>
          <t>Hi Satish or Nile PS Triage, Can you please process this replacement file tonight and provide update to the email chain? Re: Community Health Choice- Test File Request Jira- 444094- CHCMD Production TBA File Error- chcmd_daily_incoming_1.05-06-2026_088 This is high visibility to the business and external client. Thanks in advance for your help melly</t>
        </is>
      </c>
      <c r="D35" s="96" t="inlineStr">
        <is>
          <t>We can assign this to Satish. This ticket was completed already (for tracking purposes). thx again Satish! melly</t>
        </is>
      </c>
      <c r="E35" s="96" t="inlineStr">
        <is>
          <t>pipeline completed</t>
        </is>
      </c>
      <c r="F35" s="95" t="inlineStr">
        <is>
          <t>Closed</t>
        </is>
      </c>
      <c r="G35" s="95" t="inlineStr">
        <is>
          <t>2026-05-15</t>
        </is>
      </c>
    </row>
    <row r="36" ht="40" customHeight="1">
      <c r="A36" s="93" t="inlineStr">
        <is>
          <t>IT-3061527</t>
        </is>
      </c>
      <c r="B36" s="94" t="inlineStr">
        <is>
          <t>BCBS_LA Medadvantage Historical files</t>
        </is>
      </c>
      <c r="C36" s="94" t="inlineStr">
        <is>
          <t>hello, we got MA files for BCBS_LA that will need to get load. files are: Cotiviti_Providers_MA_260318.txt cotiviti_Enrollment_MA_260318.txt cotiviti_Claims_MA_260318.txt Please load to new tables: [BCBS_LADataRaw] . [dbo] . [PareoProviderMA_Hist] [BCBS_LADataRaw] . [dbo] . [PareoEnrollmentMA_Hist] [BCBS_LADataRaw] . [dbo] . [PareoClaimsMA_Hist]</t>
        </is>
      </c>
      <c r="D36" s="94" t="inlineStr"/>
      <c r="E36" s="94" t="inlineStr"/>
      <c r="F36" s="93" t="inlineStr">
        <is>
          <t>In Progress (HD1)</t>
        </is>
      </c>
      <c r="G36" s="93" t="inlineStr">
        <is>
          <t>2026-05-15</t>
        </is>
      </c>
    </row>
    <row r="37" ht="40" customHeight="1">
      <c r="A37" s="95" t="inlineStr">
        <is>
          <t>IT-3061513</t>
        </is>
      </c>
      <c r="B37" s="96" t="inlineStr">
        <is>
          <t>Copy files from Nile prod Raw path to Nile dev Raw path - UHC_UNETASO (Copy from 2024 to till date)</t>
        </is>
      </c>
      <c r="C37" s="96" t="inlineStr">
        <is>
          <t>Hi Team, We need data copy for UHC UNET ASO client from Prod to Dev. Once copied to dev the owner should be set to ‘svcpniledidevraw' and group should be set to 'devunrestricted’ and permission should be 750. Below are the list of files needed to copy from Prod to Dev - NILE PROD RAW PATH (SOURCE) : /dataingestionprod/raw/unrestricted/23-uhc-unetaso NILE DEV RAW PATH (TARGET) : /dataingestiondev/raw/unrestricted/23-uhc-unetaso please copy the below 3 files from 2024 to till date UNET_MBR_BEH_OUT_JAN25.txt.gz.pgp - Cadence of file 9,19,28TH of every month UNET_MBR_MED_OUT_JAN25.txt.gz.pgp - Cadence of file 9,19,28TH of every month unet_mbr_uhgee_out_apr25.txt.gz - Cadence of file - 20th of every month</t>
        </is>
      </c>
      <c r="D37" s="96" t="inlineStr">
        <is>
          <t>hI Satish, please find the correct source path : Nile prod raw path (Source): /dataingestionprod/raw/unrestricted/303-uhc-unet/ and I have attached the list of files that need to be copied Thank you again dataingestionprodrawunrestricted303_aso.txt /dataingestionprod/raw/unrestricted/303-uhc-unet/20240923/UNET_MBR_BEH_OUT_SEP24.txt.gz.pgp /dataingestionprod/raw/unrestricted/303-uhc-unet/20240923/UNET_MBR_MED_OUT_SEP24.txt.gz.pgp /dataingestionprod/raw/unrestricted/303-uhc-unet/20240930/UNET_MBR_BEH_OUT_SEP24.txt.gz.pgp /dataingestionprod/raw/unrestricted/303-uhc-unet/20240930/UNET_MBR_MED_OUT_SEP24.txt.gz.pgp /dataingestionprod/raw/unrestricted/303-uhc-unet/20241009/UNET_MBR_BEH_OUT_OCT24.txt.gz.pgp /dataingestionprod/raw/unrestricted/303-uhc-unet/20241009/UNET_MBR_MED_OUT_OCT24.txt.gz.pgp /dataingestionprod/raw/unrestricted/303-uhc-unet/20241021/UNET_MBR_BEH_OUT_OCT24.txt.gz.pgp /dataingestionprod/raw/unrestricted/303-uhc-unet/20241021/UNET_MBR_MED_OUT_OCT24.txt.gz.pgp /dataingestionprod/raw/unrestricted/303-uhc-unet/20241022/UNET_MBR_BEH_OUT_OCT24.txt.gz.pgp /dataingestionprod/raw/unrestricted/303-uhc-unet/20241022/UNET_MBR_MED_OUT_OCT24.txt.gz.pgp /dataingestionprod/raw/unrestricted/303-uhc-unet/20241028/UNET_MBR_BEH_OUT_OCT24.txt.gz.pgp /dataingestionprod/raw/unrestricted/303-uhc-unet/20241028/UNET_MBR_MED_OUT_OCT24.txt.gz.pgp /dataingestionprod/raw/unrestricted/303-uhc-unet/20241030/UNET_MBR_BEH_OUT_OCT24.txt.gz.pgp /dataingestionprod/raw/unrestricted/303-uhc-unet/20241030/UNET_MBR_MED_OUT_OCT24.txt.gz.pgp /dataingestionprod/raw/unrestricted/303-uhc-unet/20241109/UNET_MBR_BEH_OUT_NOV24.txt.gz.pgp /dataingestionprod/raw/unrestricted/303-uhc-unet/20241109/UNET_MBR_MED_OUT_NOV24.txt.gz.pgp /dataingestionprod/raw/unrestricted/303-uhc-unet/20241119/UNET_MBR_BEH_OUT_NOV24.txt.gz.pgp /dataingestionprod/raw/unrestricted/303-uhc-unet/20241119/UNET_MBR_MED_OUT_NOV24.txt.gz.pgp /dataingestionprod/raw/unrestricted/303-uhc-unet/20241130/UNET_MBR_BEH_OUT_NOV24.txt.gz.pgp /dataingestionprod/raw/unrestricted/303-uhc-unet/20241130/UNET_MBR_MED_OUT_NOV24.txt.gz.pgp /dataingestionprod/raw/unrestricted/303-uhc-unet/20241209/UNET_MBR_BEH_OUT_DEC24.txt.gz.pgp /dataingestionprod/raw/unrestricted/303-uhc-unet/20241209/UNET_MBR_MED_OUT_DEC24.txt.gz.pgp /dataingestionprod/raw/unrestricted/303-uhc-unet/20241219/UNET_MBR_BEH_OUT_DEC24.txt.gz.pgp /dataingestionprod/raw/unrestricted/303-uhc-unet/20241219/UNET_MBR_MED_OUT_DEC24.txt.gz.pgp /dataingestionprod/raw/unrestricted/303-uhc-unet/20241230/UNET_MBR_BEH_OUT_DEC24.txt.gz.pgp /dataingestionprod/raw/unrestricted/303-uhc-unet/20241230/UNET_MBR_MED_OUT_DEC24.txt.gz.pgp /dataingestionprod/raw/unrestricted/303-uhc-unet/20250103/UNET_MBR_BEH_OUT_DEC24.txt.gz.pgp /dataingestionprod/raw/unrestricted/303-uhc-unet/20250103/UNET_MBR_MED_OUT_DEC24.txt.gz.pgp /dataingestionprod/raw/unrestricted/303-uhc-unet/20250106/UNET_MBR_BEH_OUT_DEC24.txt.gz.pgp /dataingestionprod/raw/unrestricted/303-uhc-unet/20250109/UNET_MBR_BEH_OUT_JAN25.txt.gz.pgp /dataingestionprod/raw/unrestricted/303-uhc-unet/20250109/UNET_MBR_MED_OUT_JAN25.txt.gz.pgp /dataingestionprod/raw/unrestricted/303-uhc-unet/20250119/UNET_MBR_BEH_OUT_JAN25.txt.gz.pgp /dataingestionprod/raw/unrestricted/303-uhc-unet/20250119/UNET_MBR_MED_OUT_JAN25.txt.gz.pgp /dataingestionprod/raw/unrestricted/303-uhc-unet/20250130/UNET_MBR_BEH_OUT_JAN25.txt.gz.pgp /dataingestionprod/raw/unrestricted/303-uhc-unet/20250130/UNET_MBR_MED_OUT_JAN25.txt.gz.pgp /dataingestionprod/raw/unrestricted/303-uhc-unet/20250209/UNET_MBR_BEH_OUT_FEB25.txt.gz.pgp /dataingestionprod/raw/unrestricted/303-uhc-unet/20250209/UNET_MBR_MED_OUT_FEB25.txt.gz.pgp /dataingestionprod/raw/unrestricted/303-uhc-unet/20250219/UNET_MBR_BEH_OUT_FEB25.txt.gz.pgp /dataingestionprod/raw/unrestricted/303-uhc-unet/20250219/UNET_MBR_MED_OUT_FEB25.txt.gz.pgp /dataingestionprod/raw/unrestricted/303-uhc-unet/20250303/UNET_MBR_BEH_OUT_FEB25.txt.gz.pgp /dataingestionprod/raw/unrestricted/303-uhc-unet/20250303/UNET_MBR_MED_OUT_FEB25.txt.gz.pgp /dataingestionprod/raw/unrestricted/303-uhc-unet/20250305/UNET_MBR_BEH_OUT_FEB25.txt.gz.pgp /dataingestionprod/raw/unrestricted/303-uhc-unet/20250305/UNET_MBR_MED_OUT_FEB25.txt.gz.pgp /dataingestionprod/raw/unrestricted/303-uhc-unet/20250309/UNET_MBR_BEH_OUT_MAR25.txt.gz.pgp /dataingestionprod/raw/unrestricted/303-uhc-unet/20250309/UNET_MBR_MED_OUT_MAR25.txt.gz.pgp /dataingestionprod/raw/unrestricted/303-uhc-unet/20250319/UNET_MBR_BEH_OUT_FEB25.txt.gz.pgp /dataingestionprod/raw/unrestricted/303-uhc-unet/20250319/UNET_MBR_MED_OUT_FEB25.txt.gz.pgp /dataingestionprod/raw/unrestricted/303-uhc-unet/20250324/UNET_MBR_BEH_OUT_MAR25.txt.gz.pgp /dataingestionprod/raw/unrestricted/303-uhc-unet/20250324/UNET_MBR_MED_OUT_MAR25.txt.gz.pgp /dataingestionprod/raw/unrestricted/303-uhc-unet/20250331/UNET_MBR_BEH_OUT_MAR25.txt.gz.pgp /dataingestionprod/raw/unrestricted/303-uhc-unet/20250331/UNET_MBR_MED_OUT_MAR25.txt.gz.pgp /dataingestionprod/raw/unrestricted/303-uhc-unet/20260109/UNET_MBR_BEH_OUT_JAN26.txt.gz.pgp /dataingestionprod/raw/unrestricted/303-uhc-unet/20260109/UNET_MBR_MED_OUT_JAN26.txt.gz.pgp /dataingestionprod/raw/unrestricted/303-uhc-unet/20260126/UNET_MBR_BEH_OUT_JAN26.txt.gz.pgp /dataingestionprod/raw/unrestricted/303-uhc-unet/20260126/UNET_MBR_MED_OUT_JAN26.txt.gz.pgp /dataingestionprod/raw/unrestricted/303-uhc-unet/20260128/UNET_MBR_BEH_OUT_JAN26.txt.gz.pgp /dataingestionprod/raw/unrestricted/303-uhc-unet/20260128/UNET_MBR_MED_OUT_JAN26.txt.gz.pgp /dataingestionprod/raw/unrestricted/303-uhc-unet/20260209/UNET_MBR_BEH_OUT_FEB26.txt.gz.pgp /dataingestionprod/raw/unrestricted/303-uhc-unet/20260209/UNET_MBR_MED_OUT_FEB26.txt.gz.pgp /dataingestionprod/raw/unrestricted/303-uhc-unet/202502/HIST_UNET_MBR_UHGEE_OUT_HIST_FEB25.txt.gz /dataingestionprod/raw/unrestricted/303-uhc-unet/202502/UNET_MBR_UHGEE_OUT_FEB25.txt.gz /dataingestionprod/raw/unrestricted/303-uhc-unet/202503/UNET_MBR_UHGEE_OUT_MAR25.txt.gz /dataingestionprod/raw/unrestricted/303-uhc-unet/20260213/UNET_MBR_UHGEE_OUT_FEB26.txt.gz /dataingestionprod/raw/unrestricted/303-uhc-unet/20260128/UNET_MBR_UHGEE_OUT_JAN26.txt.gz /dataingestionprod/raw/unrestricted/303-uhc-unet/20260119/UNET_MBR_UHGEE_OUT_JAN26.txt.gz /dataingestionprod/raw/unrestricted/303-uhc-unet/20260119/UNET_MBR_UHGEE_OUT_JAN26.txt.gz /dataingestionprod/raw/unrestricted/303-uhc-unet/20260108/UNET_MBR_UHGEE_OUT_JAN26.txt.gz /dataingestionprod/raw/unrestricted/303-uhc-unet/202507/UNET_DETAIL_REVENUE_FI_OUT_JUL25.txt.gz.pgp /dataingestionprod/raw/unrestricted/303-uhc-unet/202508/UNET_DETAIL_REVENUE_FI_OUT_AUG25.txt.gz.pgp /dataingestionprod/raw/unrestricted/303-uhc-unet/202509/UNET_DETAIL_REVENUE_FI_OUT_SEP25.txt.gz.pgp /dataingestionprod/raw/unrestricted/303-uhc-unet/202510/UNET_DETAIL_REVENUE_FI_OUT_OCT25.txt.gz.pgp /dataingestionprod/raw/unrestricted/303-uhc-unet/202511/UNET_DETAIL_REVENUE_FI_OUT_NOV25.txt.gz.pgp /dataingestionprod/raw/unrestricted/303-uhc-unet/202512/UNET_DETAIL_REVENUE_FI_OUT_DEC25.txt.gz.pgp /dataingestionprod/raw/unrestricted/303-uhc-unet/202601/UNET_DETAIL_REVENUE_FI_OUT_JAN26.txt.gz.pgp /dataingestionprod/raw/unrestricted/303-uhc-unet/202602/UNET_DETAIL_REVENUE_FI_OUT_FEB26.txt.gz.pgp Hi Rajpurohit, Neelam most of the files are already exist in the target path Ramaining files are copied and updated permissions Thanks Satish Devatha</t>
        </is>
      </c>
      <c r="E37" s="96" t="inlineStr">
        <is>
          <t>most of the files are already exist in the target path Remaining files are copied and updated permissions</t>
        </is>
      </c>
      <c r="F37" s="95" t="inlineStr">
        <is>
          <t>Closed</t>
        </is>
      </c>
      <c r="G37" s="95" t="inlineStr">
        <is>
          <t>2026-05-15</t>
        </is>
      </c>
    </row>
    <row r="38" ht="40" customHeight="1">
      <c r="A38" s="93" t="inlineStr">
        <is>
          <t>IT-3060697</t>
        </is>
      </c>
      <c r="B38" s="94" t="inlineStr">
        <is>
          <t>oscar_history_incoming_1.05-15-2026_1005 QA Status : FAILED - Excessive failed lines (~100%)</t>
        </is>
      </c>
      <c r="C38" s="94" t="inlineStr">
        <is>
          <t>oscar_history_incoming_1.05-15-2026_1005 QA Status : FAILED Reason : FAILED - Excessive failed lines (~100%)</t>
        </is>
      </c>
      <c r="D38" s="94" t="inlineStr"/>
      <c r="E38" s="94" t="inlineStr"/>
      <c r="F38" s="93" t="inlineStr">
        <is>
          <t>Active</t>
        </is>
      </c>
      <c r="G38" s="93" t="inlineStr">
        <is>
          <t>2026-05-15</t>
        </is>
      </c>
    </row>
    <row r="39" ht="40" customHeight="1">
      <c r="A39" s="95" t="inlineStr">
        <is>
          <t>IT-3060672</t>
        </is>
      </c>
      <c r="B39" s="96" t="inlineStr">
        <is>
          <t>Update Centene PCCV Pipeline for multiple files</t>
        </is>
      </c>
      <c r="C39" s="96" t="inlineStr">
        <is>
          <t>Please update pipeline so that they are prepared to handle up to 24 files per day for all Centene prepay payer shorts. Files should increment as needed.</t>
        </is>
      </c>
      <c r="D39" s="96" t="inlineStr">
        <is>
          <t>Change implemented pipelines are running fine Thanks Satish Devatha</t>
        </is>
      </c>
      <c r="E39" s="96" t="inlineStr">
        <is>
          <t>Change implemented pipelines are running fine Thanks Satish Devatha</t>
        </is>
      </c>
      <c r="F39" s="95" t="inlineStr">
        <is>
          <t>Closed</t>
        </is>
      </c>
      <c r="G39" s="95" t="inlineStr">
        <is>
          <t>2026-05-15</t>
        </is>
      </c>
    </row>
    <row r="40" ht="40" customHeight="1">
      <c r="A40" s="93" t="inlineStr">
        <is>
          <t>IT-3060669</t>
        </is>
      </c>
      <c r="B40" s="94" t="inlineStr">
        <is>
          <t>QC Client BCBSNC Facets OLA Set up</t>
        </is>
      </c>
      <c r="C40" s="94" t="inlineStr">
        <is>
          <t>QC Client BCBSNC Facets OLA Set up</t>
        </is>
      </c>
      <c r="D40" s="94" t="inlineStr"/>
      <c r="E40" s="94" t="inlineStr">
        <is>
          <t>OLA Set up done.</t>
        </is>
      </c>
      <c r="F40" s="93" t="inlineStr">
        <is>
          <t>Closed</t>
        </is>
      </c>
      <c r="G40" s="93" t="inlineStr">
        <is>
          <t>2026-05-15</t>
        </is>
      </c>
    </row>
    <row r="41" ht="40" customHeight="1">
      <c r="A41" s="95" t="inlineStr">
        <is>
          <t>IT-3060664</t>
        </is>
      </c>
      <c r="B41" s="96" t="inlineStr">
        <is>
          <t>QC Client Premera blue cross OLA Set up</t>
        </is>
      </c>
      <c r="C41" s="96" t="inlineStr">
        <is>
          <t>QC Client Premera blue cross OLA Set up</t>
        </is>
      </c>
      <c r="D41" s="96" t="inlineStr"/>
      <c r="E41" s="96" t="inlineStr">
        <is>
          <t>Set up done.</t>
        </is>
      </c>
      <c r="F41" s="95" t="inlineStr">
        <is>
          <t>Closed</t>
        </is>
      </c>
      <c r="G41" s="95" t="inlineStr">
        <is>
          <t>2026-05-15</t>
        </is>
      </c>
    </row>
    <row r="42" ht="40" customHeight="1">
      <c r="A42" s="93" t="inlineStr">
        <is>
          <t>IT-3060510</t>
        </is>
      </c>
      <c r="B42" s="94" t="inlineStr">
        <is>
          <t>Production Transition - Kaiser 8 regions</t>
        </is>
      </c>
      <c r="C42" s="94" t="inlineStr">
        <is>
          <t>Production Transition - Kaiser 8 regions of all RCA pipelines (Claims, Member, Provider)</t>
        </is>
      </c>
      <c r="D42" s="94" t="inlineStr">
        <is>
          <t>Awaiting documents from the requestor.</t>
        </is>
      </c>
      <c r="E42" s="94" t="inlineStr"/>
      <c r="F42" s="93" t="inlineStr">
        <is>
          <t>On Hold</t>
        </is>
      </c>
      <c r="G42" s="93" t="inlineStr">
        <is>
          <t>2026-05-15</t>
        </is>
      </c>
    </row>
    <row r="43" ht="40" customHeight="1">
      <c r="A43" s="95" t="inlineStr">
        <is>
          <t>IT-3059815</t>
        </is>
      </c>
      <c r="B43" s="96" t="inlineStr">
        <is>
          <t>rccv-caresource-facets-history_institutional_claims_custom_GDF2_13_CDF2_13 failed in schema validations</t>
        </is>
      </c>
      <c r="C43" s="96" t="inlineStr">
        <is>
          <t>Pipeline: rccv-caresource-facets-history_institutional_claims_custom_GDF2_13_CDF2_13 failed in Fail Stage-schema_validation_error [fail] stage, Can you please have a analysis on the data file once for the issue. if minor issue, if we can override the parameters and proceed ahead for this?</t>
        </is>
      </c>
      <c r="D43" s="96" t="inlineStr">
        <is>
          <t>Hi Raya, Birajan 1 record went to rejected folder Joel, send email to csm for confirmation. Hi Raya, Birajan pipeline completed Thanks</t>
        </is>
      </c>
      <c r="E43" s="96" t="inlineStr">
        <is>
          <t>pipeline completed</t>
        </is>
      </c>
      <c r="F43" s="95" t="inlineStr">
        <is>
          <t>Closed</t>
        </is>
      </c>
      <c r="G43" s="95" t="inlineStr">
        <is>
          <t>2026-05-15</t>
        </is>
      </c>
    </row>
    <row r="44" ht="40" customHeight="1">
      <c r="A44" s="93" t="inlineStr">
        <is>
          <t>IT-3059206</t>
        </is>
      </c>
      <c r="B44" s="94" t="inlineStr">
        <is>
          <t>Please ingest available Centene PBM files for 20260426, 20260503, &amp; 20260510</t>
        </is>
      </c>
      <c r="C44" s="94" t="inlineStr">
        <is>
          <t>Please ingest available Centene PBM files for 20260426, 20260503, &amp; 20260510 in \\ccaintranet.com\DFS-FLD-01\Audits\Centene\Data_IT\FTP\ClientToCotiviti</t>
        </is>
      </c>
      <c r="D44" s="94" t="inlineStr">
        <is>
          <t>Checked with user to copy the files to nileclientdata, since we are not seeing the files in usual locatio. Files spooled to nile hdfs and pipelines processed successfully.</t>
        </is>
      </c>
      <c r="E44" s="94" t="inlineStr">
        <is>
          <t>Files spooled to nile hdfs and pipelines processed successfully.</t>
        </is>
      </c>
      <c r="F44" s="93" t="inlineStr">
        <is>
          <t>Closed</t>
        </is>
      </c>
      <c r="G44" s="93" t="inlineStr">
        <is>
          <t>2026-05-14</t>
        </is>
      </c>
    </row>
    <row r="45" ht="40" customHeight="1">
      <c r="A45" s="95" t="inlineStr">
        <is>
          <t>IT-3058884</t>
        </is>
      </c>
      <c r="B45" s="96" t="inlineStr">
        <is>
          <t>BCBS Minnesota PPM -Prod Transition Documents Review</t>
        </is>
      </c>
      <c r="C45" s="96" t="inlineStr">
        <is>
          <t>Please review the prod transition checklist documents for BCBS Minnesota PPM (BMNMD) and let us know if any changes are needed: Checklist and Escalation documents will be provided in the comments of the ticket when available.</t>
        </is>
      </c>
      <c r="D45" s="96" t="inlineStr">
        <is>
          <t>Awaiting transition call. Updating document links: Checklist: BCBSMinnesota_PPM_DataIngestion_Production_Job_Transition_Checklist Escalation Document: BMNMD_Joint Data Escalation Plan_06.01.2026</t>
        </is>
      </c>
      <c r="E45" s="96" t="inlineStr"/>
      <c r="F45" s="95" t="inlineStr">
        <is>
          <t>On Hold</t>
        </is>
      </c>
      <c r="G45" s="95" t="inlineStr">
        <is>
          <t>2026-05-14</t>
        </is>
      </c>
    </row>
    <row r="46" ht="40" customHeight="1">
      <c r="A46" s="93" t="inlineStr">
        <is>
          <t>IT-3058883</t>
        </is>
      </c>
      <c r="B46" s="94" t="inlineStr">
        <is>
          <t>Community First Health Plans PPM - Prod Transition Documents Review</t>
        </is>
      </c>
      <c r="C46" s="94" t="inlineStr">
        <is>
          <t>Please review the prod transition checklist documents for Community First Health Plan (CMFHP) PPM and let us know if any changes are needed: Checklist and Escalation documents will be provided in the comments of the ticket when available.</t>
        </is>
      </c>
      <c r="D46" s="94" t="inlineStr">
        <is>
          <t>awaiting documents.</t>
        </is>
      </c>
      <c r="E46" s="94" t="inlineStr"/>
      <c r="F46" s="93" t="inlineStr">
        <is>
          <t>On Hold</t>
        </is>
      </c>
      <c r="G46" s="93" t="inlineStr">
        <is>
          <t>2026-05-14</t>
        </is>
      </c>
    </row>
    <row r="47" ht="40" customHeight="1">
      <c r="A47" s="95" t="inlineStr">
        <is>
          <t>IT-3058880</t>
        </is>
      </c>
      <c r="B47" s="96" t="inlineStr">
        <is>
          <t>Astrana Health PPM - Prod Transition Documents Review</t>
        </is>
      </c>
      <c r="C47" s="96" t="inlineStr">
        <is>
          <t>Please review the prod transition checklist documents for Astrana Health PPM and let us know if any changes are needed: Transition Document: AstranaASTCM_PPM_DataIngestion_Production_Job_Transition_Checklist .docx Escalation Document: Astrana PPM-CV_Implementation Profile_Technical Workstream v3</t>
        </is>
      </c>
      <c r="D47" s="96" t="inlineStr">
        <is>
          <t>awaiting transition.</t>
        </is>
      </c>
      <c r="E47" s="96" t="inlineStr"/>
      <c r="F47" s="95" t="inlineStr">
        <is>
          <t>On Hold</t>
        </is>
      </c>
      <c r="G47" s="95" t="inlineStr">
        <is>
          <t>2026-05-14</t>
        </is>
      </c>
    </row>
    <row r="48" ht="40" customHeight="1">
      <c r="A48" s="93" t="inlineStr">
        <is>
          <t>IT-3058679</t>
        </is>
      </c>
      <c r="B48" s="94" t="inlineStr">
        <is>
          <t>Process USAA Replacement Files</t>
        </is>
      </c>
      <c r="C48" s="94" t="inlineStr">
        <is>
          <t>USAA had an issue with their monthly extracts, and had to send a replacement set. Please process these files. Thank you!</t>
        </is>
      </c>
      <c r="D48" s="94" t="inlineStr">
        <is>
          <t>Received Replacement files and processed</t>
        </is>
      </c>
      <c r="E48" s="94" t="inlineStr">
        <is>
          <t>Received Replacement files and processed</t>
        </is>
      </c>
      <c r="F48" s="93" t="inlineStr">
        <is>
          <t>Closed</t>
        </is>
      </c>
      <c r="G48" s="93" t="inlineStr">
        <is>
          <t>2026-05-14</t>
        </is>
      </c>
    </row>
    <row r="49" ht="40" customHeight="1">
      <c r="A49" s="95" t="inlineStr">
        <is>
          <t>IT-3058434</t>
        </is>
      </c>
      <c r="B49" s="96" t="inlineStr">
        <is>
          <t>Provide List of HNK Commercial Files Client Sends</t>
        </is>
      </c>
      <c r="C49" s="96" t="inlineStr">
        <is>
          <t>Worked with Joy’s team and NILE to gather a list of the files that we receive from Highmark Commercial on a weekly and monthly basis. Submitting ticket for tracking purposes. chhosp_20260417.txt.bz2 cpprof_20260417.txt.bz2 crrev_20260417.txt.bz2 d1diag9_20260417.txt.bz2 d2diag10_20260417.txt.bz2 d3diag9_20260417.txt.bz2 d4diag10_20260417.txt.bz2 d5proc9_20260417.txt.bz2 d6proc10_20260417.txt.bz2 d7cond_20260417.txt.bz2 d8occur_20260417.txt.bz2 d9value_20260417.txt.bz2 darug_20260417.txt.bz2 rxphar_20260417.txt.bz2 practvendntwk_highmark_20260503.txt provdrcode_highmark_20260503.txt provdr_highmark_20260503.txt vendntwk_highmark_20260503.txt cotiviti_monthly_eligibility_p_20260307.txt OVERLAP_20260414.zip</t>
        </is>
      </c>
      <c r="D49" s="96" t="inlineStr"/>
      <c r="E49" s="96" t="inlineStr">
        <is>
          <t>Shared files list</t>
        </is>
      </c>
      <c r="F49" s="95" t="inlineStr">
        <is>
          <t>Closed</t>
        </is>
      </c>
      <c r="G49" s="95" t="inlineStr">
        <is>
          <t>2026-05-14</t>
        </is>
      </c>
    </row>
    <row r="50" ht="40" customHeight="1">
      <c r="A50" s="93" t="inlineStr">
        <is>
          <t>IT-3057953</t>
        </is>
      </c>
      <c r="B50" s="94" t="inlineStr">
        <is>
          <t>Move history file from dataingestionprod/ to dataingestiondev/ and dataingestionqc/</t>
        </is>
      </c>
      <c r="C50" s="94" t="inlineStr">
        <is>
          <t>Please see below and copy the Source file to both Destinations in HDFS (server Nile-prod). Thank you. Source file : /dataingestionprod/raw/unrestricted/18-uhc-cosmos/20260428/COSMOS_FACL_CONTRACT_CATEGORY_OUT_HIST_APR26.txt.gz.pgp Destination 1 : /dataingestiondev/raw/unrestricted/18-uhc-cosmos/20260428/COSMOS_FACL_CONTRACT_CATEGORY_OUT_HIST_APR26.txt.gz.pgp Destination 2 : /dataingestionqc/raw/unrestricted/18-uhc-cosmos/20260428/COSMOS_FACL_CONTRACT_CATEGORY_OUT_HIST_APR26.txt.gz.pgp</t>
        </is>
      </c>
      <c r="D50" s="94" t="inlineStr">
        <is>
          <t>Files Copied please verify Looks good thank you Devatha, Satish !</t>
        </is>
      </c>
      <c r="E50" s="94" t="inlineStr">
        <is>
          <t>Files Copied</t>
        </is>
      </c>
      <c r="F50" s="93" t="inlineStr">
        <is>
          <t>Closed</t>
        </is>
      </c>
      <c r="G50" s="93" t="inlineStr">
        <is>
          <t>2026-05-14</t>
        </is>
      </c>
    </row>
    <row r="51" ht="40" customHeight="1">
      <c r="A51" s="95" t="inlineStr">
        <is>
          <t>IT-3057038</t>
        </is>
      </c>
      <c r="B51" s="96" t="inlineStr">
        <is>
          <t>Need assistance pulling raw provider file for BCSSC</t>
        </is>
      </c>
      <c r="C51" s="96" t="inlineStr">
        <is>
          <t>Can you provide the join logic used for the raw provider files for BCSSC as well as the provider address files mentioned above? The CSM is asking on behalf of their client. They do not believe we are using the latest provider addresses they are sending to us. Client request to review RAW data files to verify where we pull CH_Billing Provider. From what I have been told, we pull it from the file names below, and my question is what is the RAW data file field we pull from? bcscp_history_institutional_incoming_20260327_1.txt.pgp bcssc_postcheck_medical_incoming_20260321_1091353.txt.pgp Second question is that I see these files on the T1 T2 logs and I'm wondering what is in the files and what are we using it for: bcssc_provideraddress_outgoing_20260327_1.txt.pgp bcssc_provideraddress_incoming_20260327_1.txt.pgp This is for CCV but the TBA file we ingest comes through PPM so I do not have any insight into their raw provider file or where I can find it. Can you provide the join logic used for the raw provider files for BCSSC as well as the provider address files mentioned above? The CSM is asking on behalf of their client. They do not believe we are using the latest provider addresses they are sending to us.</t>
        </is>
      </c>
      <c r="D51" s="96" t="inlineStr">
        <is>
          <t>Shared Details</t>
        </is>
      </c>
      <c r="E51" s="96" t="inlineStr">
        <is>
          <t>Shared Details</t>
        </is>
      </c>
      <c r="F51" s="95" t="inlineStr">
        <is>
          <t>Closed</t>
        </is>
      </c>
      <c r="G51" s="95" t="inlineStr">
        <is>
          <t>2026-05-14</t>
        </is>
      </c>
    </row>
    <row r="52" ht="40" customHeight="1">
      <c r="A52" s="93" t="inlineStr">
        <is>
          <t>IT-3057015</t>
        </is>
      </c>
      <c r="B52" s="94" t="inlineStr">
        <is>
          <t>EXCCV- Excellus COB Bypass for RCCV</t>
        </is>
      </c>
      <c r="C52" s="94" t="inlineStr">
        <is>
          <t>Can we update the audit bypass code for exccv_inpatient_incoming* file If CH_OTHER_INSURANCE_INDICATOR= 1 then CH_AUDIT_BYPASS_CODE =1048575</t>
        </is>
      </c>
      <c r="D52" s="94" t="inlineStr">
        <is>
          <t>updated the change in UDC</t>
        </is>
      </c>
      <c r="E52" s="94" t="inlineStr">
        <is>
          <t>Change implemented. Pipeline completed for this month</t>
        </is>
      </c>
      <c r="F52" s="93" t="inlineStr">
        <is>
          <t>Closed</t>
        </is>
      </c>
      <c r="G52" s="93" t="inlineStr">
        <is>
          <t>2026-05-14</t>
        </is>
      </c>
    </row>
    <row r="53" ht="40" customHeight="1">
      <c r="A53" s="95" t="inlineStr">
        <is>
          <t>IT-3056876</t>
        </is>
      </c>
      <c r="B53" s="96" t="inlineStr">
        <is>
          <t>Ticket Management Efforts- Nile PS</t>
        </is>
      </c>
      <c r="C53" s="96" t="inlineStr">
        <is>
          <t>Ticket Management Efforts- Nile PS</t>
        </is>
      </c>
      <c r="D53" s="96" t="inlineStr">
        <is>
          <t>Since this is just for efforts tracking. WIP is not applicable status.</t>
        </is>
      </c>
      <c r="E53" s="96" t="inlineStr"/>
      <c r="F53" s="95" t="inlineStr">
        <is>
          <t>On Hold</t>
        </is>
      </c>
      <c r="G53" s="95" t="inlineStr">
        <is>
          <t>2026-05-14</t>
        </is>
      </c>
    </row>
    <row r="54" ht="40" customHeight="1">
      <c r="A54" s="93" t="inlineStr">
        <is>
          <t>IT-3054219</t>
        </is>
      </c>
      <c r="B54" s="94" t="inlineStr">
        <is>
          <t>Excellus INSURANCE_LOB_SUBTYPE/Business Segments Needed</t>
        </is>
      </c>
      <c r="C54" s="94" t="inlineStr">
        <is>
          <t>Please provide all CLAIM_ID and INSURANCE_LOB_SUBTYPE where payer short=EXRRUN, EXRBC for claim dates before Jan 2025-June 2025.</t>
        </is>
      </c>
      <c r="D54" s="94" t="inlineStr">
        <is>
          <t>Hi Griffin, Lisa , Could you please clarify the requirements, is it claim dates before Jan 2025 or between Jan 2025 and June 2025? CLAIM_ID and INSURANCE_LOB_SUBTYPE: Fields that I will be using CH_CLIENT_CLAIM_ID, CH_INSURANCE_LOB_SUBTYPE respectively payer short: Field that I will be using CH_PAYER_SHORT claim dates : Field that I will be using CH_CLAIM_PAID_DATE Also, could you please confirm if these fields are as per the request made? cc: Devatha, Satish Hi. The claim dates should be Jan 2025 to June 2025. Thanks. Claims_Jan_Jun2025.xlsx We need the CH_CLIENT_CLAIM_ID and CH_INSURANCE_LOB_SUBTYPE where CH_PAYER_SHORT IN(EXRUN, EXRBC) and CH_CLIENT_CLAIM_ID= PAYER_CLAIM_ID from attached sheet Varughese, Neena , Griffin, Lisa I have prepared the report and have uploaded the file in the location: /user/sambeg.dhakal Could you please check this and if there is any issue could you please let me know. For now, closing this ticket cc: Del Rosario, Sylma Joy , Suryani, Melly , Devatha, Satish</t>
        </is>
      </c>
      <c r="E54" s="94" t="inlineStr">
        <is>
          <t>Report generated as requested.</t>
        </is>
      </c>
      <c r="F54" s="93" t="inlineStr">
        <is>
          <t>Closed</t>
        </is>
      </c>
      <c r="G54" s="93" t="inlineStr">
        <is>
          <t>2026-05-13</t>
        </is>
      </c>
    </row>
    <row r="55" ht="40" customHeight="1">
      <c r="A55" s="95" t="inlineStr">
        <is>
          <t>IT-3053234</t>
        </is>
      </c>
      <c r="B55" s="96" t="inlineStr">
        <is>
          <t>Missing chcmd daily file for 11/05/2026 and 12/05/2026</t>
        </is>
      </c>
      <c r="C55" s="96" t="inlineStr">
        <is>
          <t>Hi Team, we haven't received the chcmd professional file for 11th and 12th, can you please check and advise. chcmd_daily_incoming_1</t>
        </is>
      </c>
      <c r="D55" s="96" t="inlineStr"/>
      <c r="E55" s="96" t="inlineStr"/>
      <c r="F55" s="95" t="inlineStr">
        <is>
          <t>Active</t>
        </is>
      </c>
      <c r="G55" s="95" t="inlineStr">
        <is>
          <t>2026-05-13</t>
        </is>
      </c>
    </row>
    <row r="56" ht="40" customHeight="1">
      <c r="A56" s="93" t="inlineStr">
        <is>
          <t>IT-3052577</t>
        </is>
      </c>
      <c r="B56" s="94" t="inlineStr">
        <is>
          <t>Please move specified raw files from existing folder to new folder location provided</t>
        </is>
      </c>
      <c r="C56" s="94" t="inlineStr">
        <is>
          <t>Please move the two specified files from the current 20260120 folder to new folder location, 20260119. Please delete all 3 files from the 20260120 folder. This request is to resolve the processing of the new weekly cadence for MedA so that it resides with the Commercial data files. Current Folder Location New Folder Location /dataingestionqc/raw/restricted/256-bcbsla-facets/20260120/cotiviti_Claims_MA_260120.txt /dataingestionqc/raw/restricted/256-bcbsla-facets/20260119/cotiviti_Claims_MA_260120.txt /dataingestionqc/raw/restricted/256-bcbsla-facets/20260120/cotiviti_Enrollment_MA_260120.txt /dataingestionqc/raw/restricted/256-bcbsla-facets/20260119/cotiviti_Enrollment_MA_260120.txt /dataingestiondev/raw/restricted/425-bcbsla-facets/20260120/cotiviti_Claims_MA_260120.txt /dataingestiondev/raw/restricted/425-bcbsla-facets/20260119/cotiviti_Claims_MA_260120.txt /dataingestiondev/raw/restricted/425-bcbsla-facets/20260120/cotiviti_Enrollment_MA_260120.txt /dataingestiondev/raw/restricted/425-bcbsla-facets/20260119/cotiviti_Enrollment_MA_260120.txt</t>
        </is>
      </c>
      <c r="D56" s="94" t="inlineStr">
        <is>
          <t>Hi Gallegos, Diane Files are moved as requested Thanks</t>
        </is>
      </c>
      <c r="E56" s="94" t="inlineStr">
        <is>
          <t>Files are moved as requested</t>
        </is>
      </c>
      <c r="F56" s="93" t="inlineStr">
        <is>
          <t>Closed</t>
        </is>
      </c>
      <c r="G56" s="93" t="inlineStr">
        <is>
          <t>2026-05-12</t>
        </is>
      </c>
    </row>
    <row r="57" ht="40" customHeight="1">
      <c r="A57" s="95" t="inlineStr">
        <is>
          <t>IT-3052340</t>
        </is>
      </c>
      <c r="B57" s="96" t="inlineStr">
        <is>
          <t>Please re-ingest Independence Hold Code files from November 2025.</t>
        </is>
      </c>
      <c r="C57" s="96" t="inlineStr">
        <is>
          <t>Please re-ingest Independence Hold Code files from November 2025. Pipeline: dm-independence-ibc-actian_migration_holdcodes_new FileNames: con_hold_cd_extract_initial_r_20251105_184512.txt con_hold_cd_extract_initial_r_20251112_184516.txt con_hold_cd_extract_initial_r_20251119_183954.txt Target Table: IndependenceDataRaw.dbo.OSCAR_HoldCodes_Load_Monthly_Nov2025</t>
        </is>
      </c>
      <c r="D57" s="96" t="inlineStr"/>
      <c r="E57" s="96" t="inlineStr"/>
      <c r="F57" s="95" t="inlineStr">
        <is>
          <t>Open</t>
        </is>
      </c>
      <c r="G57" s="95" t="inlineStr">
        <is>
          <t>2026-05-12</t>
        </is>
      </c>
    </row>
    <row r="58" ht="40" customHeight="1">
      <c r="A58" s="93" t="inlineStr">
        <is>
          <t>IT-3052180</t>
        </is>
      </c>
      <c r="B58" s="94" t="inlineStr">
        <is>
          <t>NHP UDC need to be updated in order to load the file</t>
        </is>
      </c>
      <c r="C58" s="94" t="inlineStr">
        <is>
          <t>please work with Sanjeeb as he already created the temporary table to load the file for NHP ( dm-NHP-NHP-actian_migration_claims_medical_short_date ) but UDC need to be changed to match with Sanjeeb table</t>
        </is>
      </c>
      <c r="D58" s="94" t="inlineStr">
        <is>
          <t>Received replacement file from client and processed Pipeline completed</t>
        </is>
      </c>
      <c r="E58" s="94" t="inlineStr">
        <is>
          <t>Received replacement file from client and processed Pipeline completed</t>
        </is>
      </c>
      <c r="F58" s="93" t="inlineStr">
        <is>
          <t>Closed</t>
        </is>
      </c>
      <c r="G58" s="93" t="inlineStr">
        <is>
          <t>2026-05-12</t>
        </is>
      </c>
    </row>
    <row r="59" ht="40" customHeight="1">
      <c r="A59" s="95" t="inlineStr">
        <is>
          <t>IT-3051819</t>
        </is>
      </c>
      <c r="B59" s="96" t="inlineStr">
        <is>
          <t>Please ingest an adhoc BCBS_TN Enrollment file using the current pipeline.</t>
        </is>
      </c>
      <c r="C59" s="96" t="inlineStr">
        <is>
          <t>Please ingest an adhoc BCBS_TN Enrollment file using the current pipeline. Pipeline: dm-bcbstn-bcbstn-actian_migration_member_enrollment Adhoc Filename: ENROLLMENT_BACK_SWEEP_MAY2023-APR2026_GBQ_20260507.tab Target Table: BCBS_TNDataRaw.dbo.Member_Enrollment_Load_Monthly_SWEEP260510</t>
        </is>
      </c>
      <c r="D59" s="96" t="inlineStr">
        <is>
          <t>adhoc ingestion completed for backsweep file to temp table</t>
        </is>
      </c>
      <c r="E59" s="96" t="inlineStr">
        <is>
          <t>adhoc ingestion completed for backsweep file to temp table</t>
        </is>
      </c>
      <c r="F59" s="95" t="inlineStr">
        <is>
          <t>Closed</t>
        </is>
      </c>
      <c r="G59" s="95" t="inlineStr">
        <is>
          <t>2026-05-12</t>
        </is>
      </c>
    </row>
    <row r="60" ht="40" customHeight="1">
      <c r="A60" s="93" t="inlineStr">
        <is>
          <t>IT-3051809</t>
        </is>
      </c>
      <c r="B60" s="94" t="inlineStr">
        <is>
          <t>CareSource New market CCA MA</t>
        </is>
      </c>
      <c r="C60" s="94" t="inlineStr">
        <is>
          <t>CareSource is adding a new market (MA Commonwealth Care Alliance) to their data feed. Below are the details: Payer short CSDMA, which will map to ClientLOB Insurance ID is MA_DUAL which will map to GroupNum LOB is DUAL which will map as MCR to ClientDiv Test file has not been received yet CnlyExp is 24 months from paid date CnlyLag is 30 days from paid date Need test file made available in Hue for Ops sign off and validation once received and the above has been put into place. Once sign off is received, the client will send a backsweep file back to 1/1/2026</t>
        </is>
      </c>
      <c r="D60" s="94" t="inlineStr"/>
      <c r="E60" s="94" t="inlineStr"/>
      <c r="F60" s="93" t="inlineStr">
        <is>
          <t>Open</t>
        </is>
      </c>
      <c r="G60" s="93" t="inlineStr">
        <is>
          <t>2026-05-12</t>
        </is>
      </c>
    </row>
    <row r="61" ht="40" customHeight="1">
      <c r="A61" s="95" t="inlineStr">
        <is>
          <t>IT-3051184</t>
        </is>
      </c>
      <c r="B61" s="96" t="inlineStr">
        <is>
          <t>Copy files From Nile Prod Raw path to Nile QC Raw path - Aetna Trad</t>
        </is>
      </c>
      <c r="C61" s="96" t="inlineStr">
        <is>
          <t>Hi Team, Could you please copy the below mentioned files from the Nile PROD location to the Nile QC location? for the last week files, 05/04/2026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61" s="96" t="inlineStr">
        <is>
          <t>files copied please verify</t>
        </is>
      </c>
      <c r="E61" s="96" t="inlineStr">
        <is>
          <t>Files copied</t>
        </is>
      </c>
      <c r="F61" s="95" t="inlineStr">
        <is>
          <t>Closed</t>
        </is>
      </c>
      <c r="G61" s="95" t="inlineStr">
        <is>
          <t>2026-05-12</t>
        </is>
      </c>
    </row>
    <row r="62" ht="40" customHeight="1">
      <c r="A62" s="93" t="inlineStr">
        <is>
          <t>IT-3050058</t>
        </is>
      </c>
      <c r="B62" s="94" t="inlineStr">
        <is>
          <t>rca_caresource_no_touch_update failed due to Post procedure failed, duplicate key value</t>
        </is>
      </c>
      <c r="C62" s="94" t="inlineStr">
        <is>
          <t>pipeline: rca_caresource_no_touch_update failed in DB Writer-CnlyClaimsNoTouch [db-writer] error msg: "Post procedure failed: SP: sp_DataSwap_NileStage_to_TargetError 2627, Severity 14, State 1, Line 1, MSG: Violation of PRIMARY KEY constraint 'PK_ CnlyClai _DE549EBE9D47991F'. Cannot insert duplicate key in object 'dbo.CnlyClaimsNoTouch'. The duplicate key value is (802508400800, Oct 7 2021 12:00AM, Provider Exclusion)." Please have a look into the data for analysis</t>
        </is>
      </c>
      <c r="D62" s="94" t="inlineStr">
        <is>
          <t>There are dup keys which is why the pipeline is getting failed, need to ask for replacement file. Since it's restricted client will check with satish/din to check the data and then we can ask for file. Thanks. Please go ahead and ask for replacement file as I mentioned in the chat earlier.</t>
        </is>
      </c>
      <c r="E62" s="94" t="inlineStr">
        <is>
          <t>There are dup keys which is why the pipeline is getting failed, need to ask for replacement file.</t>
        </is>
      </c>
      <c r="F62" s="93" t="inlineStr">
        <is>
          <t>Closed</t>
        </is>
      </c>
      <c r="G62" s="93" t="inlineStr">
        <is>
          <t>2026-05-12</t>
        </is>
      </c>
    </row>
    <row r="63" ht="40" customHeight="1">
      <c r="A63" s="95" t="inlineStr">
        <is>
          <t>IT-3049883</t>
        </is>
      </c>
      <c r="B63" s="96" t="inlineStr">
        <is>
          <t>Please re-ingest the Centene-Healthnet monthly member files.</t>
        </is>
      </c>
      <c r="C63" s="96" t="inlineStr">
        <is>
          <t>Please re-ingest the Centene-Healthnet monthly member files. Pipelines: dm-centene-healthnet-actian_migration_HNT_member_enrollment dm-centene-healthnet-actian_migration_HNT_cob dm-centene-healthnet-actian_migration_HNT_alternatecarrier dm-centene-healthnet-actian_migration_HNT_code_set dm-centene-healthnet-actian_migration_HNT_division Files Dated: 20260505</t>
        </is>
      </c>
      <c r="D63" s="96" t="inlineStr">
        <is>
          <t>we successfully processed the pipeline and received confirmation from the user and closed this ticket.</t>
        </is>
      </c>
      <c r="E63" s="96" t="inlineStr">
        <is>
          <t>we successfully processed the pipeline and received confirmation from the user and closed this ticket.</t>
        </is>
      </c>
      <c r="F63" s="95" t="inlineStr">
        <is>
          <t>Closed</t>
        </is>
      </c>
      <c r="G63" s="95" t="inlineStr">
        <is>
          <t>2026-05-12</t>
        </is>
      </c>
    </row>
    <row r="64" ht="40" customHeight="1">
      <c r="A64" s="93" t="inlineStr">
        <is>
          <t>IT-3049864</t>
        </is>
      </c>
      <c r="B64" s="94" t="inlineStr">
        <is>
          <t>CareSource - New Market TriCare</t>
        </is>
      </c>
      <c r="C64" s="94" t="inlineStr">
        <is>
          <t>CareSource is adding a new market (FL TriCare) to their data feed. Below are the details: Payer short CSTRI, which will map to ClientLOB Insurance ID is CSTC which will map to GroupNum LOB is Federal which will map as FED to ClientDiv Test file received (see attached image) CnlyExp is 24 months from paid date CnlyLap is 30 days from paid date Need test file made available in Hue for Ops sign off and validation the above has been put into place. Once sign off is received, the client will send a backsweep file back to 1/1/2026</t>
        </is>
      </c>
      <c r="D64" s="94" t="inlineStr"/>
      <c r="E64" s="94" t="inlineStr"/>
      <c r="F64" s="93" t="inlineStr">
        <is>
          <t>Open</t>
        </is>
      </c>
      <c r="G64" s="93" t="inlineStr">
        <is>
          <t>2026-05-12</t>
        </is>
      </c>
    </row>
    <row r="65" ht="40" customHeight="1">
      <c r="A65" s="95" t="inlineStr">
        <is>
          <t>IT-3049177</t>
        </is>
      </c>
      <c r="B65" s="96" t="inlineStr">
        <is>
          <t>Data copy request from Prod to dev for UHC UNET FI client</t>
        </is>
      </c>
      <c r="C65" s="96" t="inlineStr">
        <is>
          <t>Hi Team, We need data copy for UHC UNET FI client from Prod to Dev. Once copied to dev the owner should be set to ‘svcpniledidevraw' and group should be set to 'devunrestricted’ and permission should be 750. Below are the list of files needed to copy from Prod to Dev - NILE PROD RAW PATH (SOURCE) : /dataingestionprod/raw/unrestricted/303-uhc-unet/ NILE DEV RAW PATH (TARGET) : /dataingestiondev/raw/unrestricted/24-uhc-unetfi Also attached the below file names in excel to this ticket /dataingestionprod/raw/unrestricted/303-uhc-unet/20240923/UNET_MBR_BEH_OUT_SEP24.txt.gz.pgp /dataingestionprod/raw/unrestricted/303-uhc-unet/20240923/UNET_MBR_MED_OUT_SEP24.txt.gz.pgp /dataingestionprod/raw/unrestricted/303-uhc-unet/20240930/UNET_MBR_BEH_OUT_SEP24.txt.gz.pgp /dataingestionprod/raw/unrestricted/303-uhc-unet/20240930/UNET_MBR_MED_OUT_SEP24.txt.gz.pgp /dataingestionprod/raw/unrestricted/303-uhc-unet/20241009/UNET_MBR_BEH_OUT_OCT24.txt.gz.pgp /dataingestionprod/raw/unrestricted/303-uhc-unet/20241009/UNET_MBR_MED_OUT_OCT24.txt.gz.pgp /dataingestionprod/raw/unrestricted/303-uhc-unet/20241021/UNET_MBR_BEH_OUT_OCT24.txt.gz.pgp /dataingestionprod/raw/unrestricted/303-uhc-unet/20241021/UNET_MBR_MED_OUT_OCT24.txt.gz.pgp /dataingestionprod/raw/unrestricted/303-uhc-unet/20241022/UNET_MBR_BEH_OUT_OCT24.txt.gz.pgp /dataingestionprod/raw/unrestricted/303-uhc-unet/20241022/UNET_MBR_MED_OUT_OCT24.txt.gz.pgp /dataingestionprod/raw/unrestricted/303-uhc-unet/20241028/UNET_MBR_BEH_OUT_OCT24.txt.gz.pgp /dataingestionprod/raw/unrestricted/303-uhc-unet/20241028/UNET_MBR_MED_OUT_OCT24.txt.gz.pgp /dataingestionprod/raw/unrestricted/303-uhc-unet/20241030/UNET_MBR_BEH_OUT_OCT24.txt.gz.pgp /dataingestionprod/raw/unrestricted/303-uhc-unet/20241030/UNET_MBR_MED_OUT_OCT24.txt.gz.pgp /dataingestionprod/raw/unrestricted/303-uhc-unet/20241109/UNET_MBR_BEH_OUT_NOV24.txt.gz.pgp /dataingestionprod/raw/unrestricted/303-uhc-unet/20241109/UNET_MBR_MED_OUT_NOV24.txt.gz.pgp /dataingestionprod/raw/unrestricted/303-uhc-unet/20241119/UNET_MBR_BEH_OUT_NOV24.txt.gz.pgp /dataingestionprod/raw/unrestricted/303-uhc-unet/20241119/UNET_MBR_MED_OUT_NOV24.txt.gz.pgp /dataingestionprod/raw/unrestricted/303-uhc-unet/20241130/UNET_MBR_BEH_OUT_NOV24.txt.gz.pgp /dataingestionprod/raw/unrestricted/303-uhc-unet/20241130/UNET_MBR_MED_OUT_NOV24.txt.gz.pgp /dataingestionprod/raw/unrestricted/303-uhc-unet/20241209/UNET_MBR_BEH_OUT_DEC24.txt.gz.pgp /dataingestionprod/raw/unrestricted/303-uhc-unet/20241209/UNET_MBR_MED_OUT_DEC24.txt.gz.pgp /dataingestionprod/raw/unrestricted/303-uhc-unet/20241219/UNET_MBR_BEH_OUT_DEC24.txt.gz.pgp /dataingestionprod/raw/unrestricted/303-uhc-unet/20241219/UNET_MBR_MED_OUT_DEC24.txt.gz.pgp /dataingestionprod/raw/unrestricted/303-uhc-unet/20241230/UNET_MBR_BEH_OUT_DEC24.txt.gz.pgp /dataingestionprod/raw/unrestricted/303-uhc-unet/20241230/UNET_MBR_MED_OUT_DEC24.txt.gz.pgp /dataingestionprod/raw/unrestricted/303-uhc-unet/20250103/UNET_MBR_BEH_OUT_DEC24.txt.gz.pgp /dataingestionprod/raw/unrestricted/303-uhc-unet/20250103/UNET_MBR_MED_OUT_DEC24.txt.gz.pgp /dataingestionprod/raw/unrestricted/303-uhc-unet/20250106/UNET_MBR_BEH_OUT_DEC24.txt.gz.pgp /dataingestionprod/raw/unrestricted/303-uhc-unet/20250109/UNET_MBR_BEH_OUT_JAN25.txt.gz.pgp /dataingestionprod/raw/unrestricted/303-uhc-unet/20250109/UNET_MBR_MED_OUT_JAN25.txt.gz.pgp /dataingestionprod/raw/unrestricted/303-uhc-unet/20250119/UNET_MBR_BEH_OUT_JAN25.txt.gz.pgp /dataingestionprod/raw/unrestricted/303-uhc-unet/20250119/UNET_MBR_MED_OUT_JAN25.txt.gz.pgp /dataingestionprod/raw/unrestricted/303-uhc-unet/20250130/UNET_MBR_BEH_OUT_JAN25.txt.gz.pgp /dataingestionprod/raw/unrestricted/303-uhc-unet/20250130/UNET_MBR_MED_OUT_JAN25.txt.gz.pgp /dataingestionprod/raw/unrestricted/303-uhc-unet/20250209/UNET_MBR_BEH_OUT_FEB25.txt.gz.pgp /dataingestionprod/raw/unrestricted/303-uhc-unet/20250209/UNET_MBR_MED_OUT_FEB25.txt.gz.pgp /dataingestionprod/raw/unrestricted/303-uhc-unet/20250219/UNET_MBR_BEH_OUT_FEB25.txt.gz.pgp /dataingestionprod/raw/unrestricted/303-uhc-unet/20250219/UNET_MBR_MED_OUT_FEB25.txt.gz.pgp /dataingestionprod/raw/unrestricted/303-uhc-unet/20250303/UNET_MBR_BEH_OUT_FEB25.txt.gz.pgp /dataingestionprod/raw/unrestricted/303-uhc-unet/20250303/UNET_MBR_MED_OUT_FEB25.txt.gz.pgp /dataingestionprod/raw/unrestricted/303-uhc-unet/20250305/UNET_MBR_BEH_OUT_FEB25.txt.gz.pgp /dataingestionprod/raw/unrestricted/303-uhc-unet/20250305/UNET_MBR_MED_OUT_FEB25.txt.gz.pgp /dataingestionprod/raw/unrestricted/303-uhc-unet/20250309/UNET_MBR_BEH_OUT_MAR25.txt.gz.pgp /dataingestionprod/raw/unrestricted/303-uhc-unet/20250309/UNET_MBR_MED_OUT_MAR25.txt.gz.pgp /dataingestionprod/raw/unrestricted/303-uhc-unet/20250319/UNET_MBR_BEH_OUT_FEB25.txt.gz.pgp /dataingestionprod/raw/unrestricted/303-uhc-unet/20250319/UNET_MBR_MED_OUT_FEB25.txt.gz.pgp /dataingestionprod/raw/unrestricted/303-uhc-unet/20250324/UNET_MBR_BEH_OUT_MAR25.txt.gz.pgp /dataingestionprod/raw/unrestricted/303-uhc-unet/20250324/UNET_MBR_MED_OUT_MAR25.txt.gz.pgp /dataingestionprod/raw/unrestricted/303-uhc-unet/20250331/UNET_MBR_BEH_OUT_MAR25.txt.gz.pgp /dataingestionprod/raw/unrestricted/303-uhc-unet/20250331/UNET_MBR_MED_OUT_MAR25.txt.gz.pgp /dataingestionprod/raw/unrestricted/303-uhc-unet/20260109/UNET_MBR_BEH_OUT_JAN26.txt.gz.pgp /dataingestionprod/raw/unrestricted/303-uhc-unet/20260109/UNET_MBR_MED_OUT_JAN26.txt.gz.pgp /dataingestionprod/raw/unrestricted/303-uhc-unet/20260126/UNET_MBR_BEH_OUT_JAN26.txt.gz.pgp /dataingestionprod/raw/unrestricted/303-uhc-unet/20260126/UNET_MBR_MED_OUT_JAN26.txt.gz.pgp /dataingestionprod/raw/unrestricted/303-uhc-unet/20260128/UNET_MBR_BEH_OUT_JAN26.txt.gz.pgp /dataingestionprod/raw/unrestricted/303-uhc-unet/20260128/UNET_MBR_MED_OUT_JAN26.txt.gz.pgp /dataingestionprod/raw/unrestricted/303-uhc-unet/20260209/UNET_MBR_BEH_OUT_FEB26.txt.gz.pgp /dataingestionprod/raw/unrestricted/303-uhc-unet/20260209/UNET_MBR_MED_OUT_FEB26.txt.gz.pgp /dataingestionprod/raw/unrestricted/303-uhc-unet/202502/HIST_UNET_MBR_UHGEE_OUT_HIST_FEB25.txt.gz /dataingestionprod/raw/unrestricted/303-uhc-unet/202502/UNET_MBR_UHGEE_OUT_FEB25.txt.gz /dataingestionprod/raw/unrestricted/303-uhc-unet/202503/UNET_MBR_UHGEE_OUT_MAR25.txt.gz /dataingestionprod/raw/unrestricted/303-uhc-unet/20260213/UNET_MBR_UHGEE_OUT_FEB26.txt.gz /dataingestionprod/raw/unrestricted/303-uhc-unet/20260128/UNET_MBR_UHGEE_OUT_JAN26.txt.gz /dataingestionprod/raw/unrestricted/303-uhc-unet/20260119/UNET_MBR_UHGEE_OUT_JAN26.txt.gz /dataingestionprod/raw/unrestricted/303-uhc-unet/20260119/UNET_MBR_UHGEE_OUT_JAN26.txt.gz /dataingestionprod/raw/unrestricted/303-uhc-unet/20260108/UNET_MBR_UHGEE_OUT_JAN26.txt.gz /dataingestionprod/raw/unrestricted/303-uhc-unet/202507/UNET_DETAIL_REVENUE_FI_OUT_JUL25.txt.gz.pgp /dataingestionprod/raw/unrestricted/303-uhc-unet/202508/UNET_DETAIL_REVENUE_FI_OUT_AUG25.txt.gz.pgp /dataingestionprod/raw/unrestricted/303-uhc-unet/202509/UNET_DETAIL_REVENUE_FI_OUT_SEP25.txt.gz.pgp /dataingestionprod/raw/unrestricted/303-uhc-unet/202510/UNET_DETAIL_REVENUE_FI_OUT_OCT25.txt.gz.pgp /dataingestionprod/raw/unrestricted/303-uhc-unet/202511/UNET_DETAIL_REVENUE_FI_OUT_NOV25.txt.gz.pgp /dataingestionprod/raw/unrestricted/303-uhc-unet/202512/UNET_DETAIL_REVENUE_FI_OUT_DEC25.txt.gz.pgp /dataingestionprod/raw/unrestricted/303-uhc-unet/202601/UNET_DETAIL_REVENUE_FI_OUT_JAN26.txt.gz.pgp /dataingestionprod/raw/unrestricted/303-uhc-unet/202602/UNET_DETAIL_REVENUE_FI_OUT_FEB26.txt.gz.pgp</t>
        </is>
      </c>
      <c r="D65" s="96" t="inlineStr">
        <is>
          <t>data_copyrequest.xlsx (10 kB) Hi Thatineni Babu, Ramakrishna Data copied please verify Thanks</t>
        </is>
      </c>
      <c r="E65" s="96" t="inlineStr">
        <is>
          <t>Data Copied</t>
        </is>
      </c>
      <c r="F65" s="95" t="inlineStr">
        <is>
          <t>Closed</t>
        </is>
      </c>
      <c r="G65" s="95" t="inlineStr">
        <is>
          <t>2026-05-11</t>
        </is>
      </c>
    </row>
    <row r="66" ht="40" customHeight="1">
      <c r="A66" s="93" t="inlineStr">
        <is>
          <t>IT-3048238</t>
        </is>
      </c>
      <c r="B66" s="94" t="inlineStr">
        <is>
          <t>cigmc_daily_incoming_180050.05-10-2026_1910 : FAILED - Excessive failed lines (~100%)</t>
        </is>
      </c>
      <c r="C66" s="94" t="inlineStr">
        <is>
          <t>File : cigmc_daily_incoming_180050.05-10-2026_1910 QA Status : FAILED Reason : FAILED - Excessive failed lines (~100%) cigmc_daily_incoming_180050 (2) Total L... by Bohannon, Stevin 8:52 AM Bohannon, Stevin cigmc_daily_incoming_180050 (2) Total Lines Processed for Run : 2 PayerShort: CIGMC ClaimId: 26113ALM3000 Er... by Bohannon, Stevin 8:53 AM Bohannon, Stevin PayerShort: CIGMC ClaimId: 26113ALM3000 Error: SUB_CPT is blank CIGMC|T|0029872|20260510|2|P TRAILER|2|20260510|230050 Sun May 10 19:10:07 EDT 2026 REASONCODE OCCURS(1) OCCURS(2) OCCURS(3) BLANK 0 2 2 FAILS 2 0 0 PayerShort: CIGMC SUB_CPT is blank occurs 1 times 2 Like reactions. 2</t>
        </is>
      </c>
      <c r="D66" s="94" t="inlineStr">
        <is>
          <t>Requested replacement file from client Requested replacement file from client</t>
        </is>
      </c>
      <c r="E66" s="94" t="inlineStr"/>
      <c r="F66" s="93" t="inlineStr">
        <is>
          <t>Awaiting Third Party</t>
        </is>
      </c>
      <c r="G66" s="93" t="inlineStr">
        <is>
          <t>2026-05-11</t>
        </is>
      </c>
    </row>
    <row r="67" ht="40" customHeight="1">
      <c r="A67" s="95" t="inlineStr">
        <is>
          <t>IT-3048183</t>
        </is>
      </c>
      <c r="B67" s="96" t="inlineStr">
        <is>
          <t>Copy BCBSTN RCCV Data from Nile Dev and Nile QC to Nile Prod</t>
        </is>
      </c>
      <c r="C67" s="96" t="inlineStr">
        <is>
          <t>Hello Team, Reason for this request: BCBSTN RCCV client received sign-off from the business and we are now planning to transition this client to the Production Support team. As part of the checklist document, we need to copy the production data from the Nile Dev and Nile QC environments to Nile Production. I have attached the document containing all the relevant paths. Could you please help us with the data copy. Business Sign-Off Received: ✅ Yes Nile Peer Review: ✅ Yes Entities: Claims, Notouch, Provider exclusion Data Source Environment: NILE DEV and Nile QC Target Environment : NILE PROD Data Range/Volumes: 202303–202604 (Monthly) Additional Notes: If the data already exists in prod, Please leave them as it is. Note : Please retain the user/group permissions Date Needed By: 15/05/2026</t>
        </is>
      </c>
      <c r="D67" s="96" t="inlineStr">
        <is>
          <t>bcbstn_facets_copy from dev to prod.xlsx (23 kB) Hello Del Rosario, Sylma Joy , Could you please provide approval for Sathish to copy the BCBSTN rccv data from Nile Dev / Nile QC to Nile Prod. Approved. Hi Shaik, Parveena All files are copied please verify and confirm i will update permissions Thanks BCBSTN_RCCV_DEV_QC_PROD_20260513.sh</t>
        </is>
      </c>
      <c r="E67" s="96" t="inlineStr">
        <is>
          <t>Files Copied</t>
        </is>
      </c>
      <c r="F67" s="95" t="inlineStr">
        <is>
          <t>Closed</t>
        </is>
      </c>
      <c r="G67" s="95" t="inlineStr">
        <is>
          <t>2026-05-11</t>
        </is>
      </c>
    </row>
    <row r="68" ht="40" customHeight="1">
      <c r="A68" s="93" t="inlineStr">
        <is>
          <t>IT-3047760</t>
        </is>
      </c>
      <c r="B68" s="94" t="inlineStr">
        <is>
          <t>Unable to load data for the Highmark Member weekly process from Nile staging tables to staging tables.</t>
        </is>
      </c>
      <c r="C68" s="94" t="inlineStr">
        <is>
          <t>A new weekly process build has been requested for Highmark Member by Deb. The weekly process has been developed successfully, and data is currently loading into the Nile staging tables without issues. However, we are encountering an issue with the stored procedure responsible for pushing data from the Nile staging tables to the staging tables. Assistance is needed in debugging the stored procedure and identifying the root cause and resolution.</t>
        </is>
      </c>
      <c r="D68" s="94" t="inlineStr"/>
      <c r="E68" s="94" t="inlineStr">
        <is>
          <t>CHanged the stored proc to support member weekly tables</t>
        </is>
      </c>
      <c r="F68" s="93" t="inlineStr">
        <is>
          <t>Closed</t>
        </is>
      </c>
      <c r="G68" s="93" t="inlineStr">
        <is>
          <t>2026-05-11</t>
        </is>
      </c>
    </row>
    <row r="69" ht="40" customHeight="1">
      <c r="A69" s="95" t="inlineStr">
        <is>
          <t>IT-3044416</t>
        </is>
      </c>
      <c r="B69" s="96" t="inlineStr">
        <is>
          <t>Copy files From Nile Prod Raw path to Nile QC Raw path - UHC-CSP</t>
        </is>
      </c>
      <c r="C69" s="96" t="inlineStr">
        <is>
          <t>Hi Team, Could you please copy all the data for the date given below from the Nile PROD raw path to the Nile QC raw path? 20260419 20260426 Nile PROD RAW PATH (Source): /dataingestionprod/raw/restricted/19-uhc-csp Nile QC RAW PATH (Target): /dataingestionqc/raw/restricted/19-uhc-csp Once copied to QC, the owner should be set to "svcpnilediqcraw" and group should be set to "qcunrestricted" and permissions should be 750.</t>
        </is>
      </c>
      <c r="D69" s="96" t="inlineStr">
        <is>
          <t>Files are copied please verify</t>
        </is>
      </c>
      <c r="E69" s="96" t="inlineStr">
        <is>
          <t>files copied</t>
        </is>
      </c>
      <c r="F69" s="95" t="inlineStr">
        <is>
          <t>Closed</t>
        </is>
      </c>
      <c r="G69" s="95" t="inlineStr">
        <is>
          <t>2026-05-08</t>
        </is>
      </c>
    </row>
    <row r="70" ht="40" customHeight="1">
      <c r="A70" s="93" t="inlineStr">
        <is>
          <t>IT-3044057</t>
        </is>
      </c>
      <c r="B70" s="94" t="inlineStr">
        <is>
          <t>Prebc daily and outpation file failures 5/8/26 - escalated to Nile Team</t>
        </is>
      </c>
      <c r="C70" s="94" t="inlineStr"/>
      <c r="D70" s="94" t="inlineStr">
        <is>
          <t>Files re submitted and processed from PC end without any issue.</t>
        </is>
      </c>
      <c r="E70" s="94" t="inlineStr">
        <is>
          <t>Files re submitted and processed from PC end without any issue.</t>
        </is>
      </c>
      <c r="F70" s="93" t="inlineStr">
        <is>
          <t>Closed</t>
        </is>
      </c>
      <c r="G70" s="93" t="inlineStr">
        <is>
          <t>2026-05-08</t>
        </is>
      </c>
    </row>
    <row r="71" ht="40" customHeight="1">
      <c r="A71" s="95" t="inlineStr">
        <is>
          <t>IT-3042417</t>
        </is>
      </c>
      <c r="B71" s="96" t="inlineStr">
        <is>
          <t>History Ingestion for Harvard pilgrim-ohi</t>
        </is>
      </c>
      <c r="C71" s="96" t="inlineStr">
        <is>
          <t>Hello, I need help on copying data from prod---&gt;Dev for the client Harvard Pilgrim-ohi location : /dataingestionprod/raw/restricted/269- harvardpilgrim-ohi to /dataingestiondev/raw/restricted/327-harvardpilgrim-ohi I need all the data from 20251112-20260506 montly and weekly files which is YYYYMMDD and YYYYMM Here are the file names: --Source Files Weekly: extr_cly_claim_*.zip extr_cly_claim_ctl_*.zip extr_cly_code_*.zip extr_cly_member_*.zip extr_cly_member_ctl_*.zip extr_cly_pharmacy_*.zip extr_cly_pharmacy_ctl_*.zip extr_cly_provider_*.zip extr_cly_provider_ctl_*.zip --Source Files Monthly: extr_clymed_claim_*.zip extr_clymed_claim_ctl_*.zip extr_clymed_member_*zip extr_clymed_member_ctl_*zip extr_clymed_pharmacy_*zip extr_clymed_pharmacy_ctl_*zip</t>
        </is>
      </c>
      <c r="D71" s="96" t="inlineStr">
        <is>
          <t>Hi Nuvvula, Nohitha Can you please share source path and target paths clearly Hi Nuvvula, Nohitha files copied updated permissions also Thanks</t>
        </is>
      </c>
      <c r="E71" s="96" t="inlineStr">
        <is>
          <t>files copied updated permissions also</t>
        </is>
      </c>
      <c r="F71" s="95" t="inlineStr">
        <is>
          <t>Closed</t>
        </is>
      </c>
      <c r="G71" s="95" t="inlineStr">
        <is>
          <t>2026-05-07</t>
        </is>
      </c>
    </row>
    <row r="72" ht="40" customHeight="1">
      <c r="A72" s="93" t="inlineStr">
        <is>
          <t>IT-3040996</t>
        </is>
      </c>
      <c r="B72" s="94" t="inlineStr">
        <is>
          <t>UHC Cirrus Weekly file decryption</t>
        </is>
      </c>
      <c r="C72" s="94" t="inlineStr">
        <is>
          <t>Hello Nile team For UHC Cirrus weekly process, EDM is decrypting the files and then copy over for nile to load, the reason is because when we had the action migration to Nile, Nile was not able to decryt the file(I am not sure what was the reason behind it). It has been a long time since we migrate to Nile, would you please check if Nile is able to decryt the files now? So we can plan to stop the EDM file preprocessing and let Nile handle file copying/decrypting/etc. Thanks and please let me know if more info is needed.</t>
        </is>
      </c>
      <c r="D72" s="94" t="inlineStr">
        <is>
          <t>This will need csm/client engagement to change their signature. Checking with Vasu our alternatives on the Nile side.</t>
        </is>
      </c>
      <c r="E72" s="94" t="inlineStr"/>
      <c r="F72" s="93" t="inlineStr">
        <is>
          <t>On Hold</t>
        </is>
      </c>
      <c r="G72" s="93" t="inlineStr">
        <is>
          <t>2026-05-07</t>
        </is>
      </c>
    </row>
    <row r="73" ht="40" customHeight="1">
      <c r="A73" s="95" t="inlineStr">
        <is>
          <t>IT-3039618</t>
        </is>
      </c>
      <c r="B73" s="96" t="inlineStr">
        <is>
          <t>Atena HRP &amp; Aetna Trad: Move missing file from the 042526 ZIP file into the correct 041726 ZIP file location for both</t>
        </is>
      </c>
      <c r="C73" s="96" t="inlineStr">
        <is>
          <t>Background : Both Aetna-HRP, and Aetna-Traditional use the same file. The file below was missing from the following ZIP file: 20260417_1000_1000_COBReport_375_P_I_1_T __ Missing From: COB Smart Cotiviti 041726.zip. The client has since re-sent the missing file in: COB Smart Cotiviti 042526.zip We now need to move the missing file from the 042526 ZIP file into the correct 041726 ZIP file location for both Aetna-HRP Aetna-Traditional ------------------------- ** Aetna-HRP Please move the file below from 042526.zip file to the 041726-zip file location. Source Path : /dataingestionprod/raw/restricted/3-aetna-hrp/20260425 Zip File : COB Smart Cotiviti 042526.zip File to Move: 20260417_1000_1000_COBReport_375_P_I_1_T Destination Path: /dataingestionprod/raw/restricted/3-aetna-hrp/20260417 COB Smart Cotiviti 041726.zip ** Aetna-Traditional Please perform the same file move for the Aetna-traditional folder. Source Path: /dataingestionprod/raw/unrestricted/5-aetna-traditional/20260425 Zip File : COB Smart Cotiviti 042526.zip File to Move: 20260417_1000_1000_COBReport_375_P_I_1_T Destination Path : /dataingestionprod/raw/restricted/3-aetna-traditional/20260417 Zip File : COB Smart Cotiviti 041726.zip Thank you</t>
        </is>
      </c>
      <c r="D73" s="96" t="inlineStr">
        <is>
          <t>Hi Enid Ike pipeline ran and got a metric drop issue sent email to Teena.</t>
        </is>
      </c>
      <c r="E73" s="96" t="inlineStr">
        <is>
          <t>Files copied to respective folder</t>
        </is>
      </c>
      <c r="F73" s="95" t="inlineStr">
        <is>
          <t>Closed</t>
        </is>
      </c>
      <c r="G73" s="95" t="inlineStr">
        <is>
          <t>2026-05-06</t>
        </is>
      </c>
    </row>
    <row r="74" ht="40" customHeight="1">
      <c r="A74" s="93" t="inlineStr">
        <is>
          <t>IT-3039329</t>
        </is>
      </c>
      <c r="B74" s="94" t="inlineStr">
        <is>
          <t>chcmd_daily_incoming_1.05-06-2026_0800 QA Status : FAILED : FAILED - 99 Unexpected Error</t>
        </is>
      </c>
      <c r="C74" s="94" t="inlineStr">
        <is>
          <t>Database : CSPRD3 Run Time : 05-06-2026_0802 Files Processed - File Name (No. Lines in File): ---------------------------------------------------------------------------------------------------- chcmd_daily_incoming_1 (26300) Total Lines Processed for Run : 26300 File Processing Information: ---------------------------------------------------------------------------------------------------- File : chcmd_daily_incoming_1.05-06-2026_0800 QA Status : FAILED Reason : FAILED - 99 Unexpected Error The QA Log: QA Test Name: dos2unix_check Pre/Post Run: 0 Result: PASSED QA Test Name: zero_length Pre/Post Run: 0 Result: PASSED QA Test Name: is_headtrail_hdr Pre/Post Run: 0 Result: PASSED QA Test Name: is_headtrail_tlr Pre/Post Run: 0 Result: PASSED QA Test Name: is_headtrail_multi Pre/Post Run: 0 Result: PASSED QA Test Name: header_payer Pre/Post Run: 0 Result: PASSED QA Test Name: nametype_match Pre/Post Run: 0 Result: PASSED QA Test Name: linetrail_match Pre/Post Run: 0 Result: PASSED QA Test Name: already_run Pre/Post Run: 0 Result: PASSED QA Test Name: java_check Pre/Post Run: 0 Result: FAILED - 99 Unexpected Error The Run Results Log: PayerShort: CHCMD ClaimId: 25337E04823A1 Error: Primary key/unique constraint violation PayerShort: CHCMD ClaimId: 25343E06486A1 Error: Primary key/unique constraint violation PayerShort: CHCMD ClaimId: 25343E06488A1 Error: Primary key/unique constraint violation PayerShort: CHCMD MClaimId: 25343E06516A1 Error: Primary key/unique constraint violation PayerShort: CHCMD ClaimId: 25343E06524A1 Error: Primary key/unique constraint violation PayerShort: CHCMD ClaimId: 26058E03808A1 Error: Primary key/unique constraint violation PayerShort: CHCMD ClaimId: 26058E03888A1 Error: Primary key/unique constraint violation PayerShort: CHCMD ClaimId: 26058E04648A1 Error: Primary key/unique constraint violation PayerShort: CHCMD ClaimId: 26058E04667A1 Error: Primary key/unique constraint violation PayerShort: CHCMD ClaimId: 26077E02174A1 Error: Primary key/unique constraint violation PayerShort: CHCMD ClaimId: 26110E07962A1 Error: Primary key/unique constraint violation File Processing Errors Occurred Error Code: 99 Error Text: java.lang.NullPointerException: Cannot invoke "com.ihealth.icm.parser.domain.Claim.getField(String)" because "claim" is null</t>
        </is>
      </c>
      <c r="D74" s="94" t="inlineStr">
        <is>
          <t>We are waiting on an analysis from EDI team</t>
        </is>
      </c>
      <c r="E74" s="94" t="inlineStr">
        <is>
          <t>Closing this ticket as it is not a Nile issue and the EDI team is investigating. There is no action for Nile</t>
        </is>
      </c>
      <c r="F74" s="93" t="inlineStr">
        <is>
          <t>Closed</t>
        </is>
      </c>
      <c r="G74" s="93" t="inlineStr">
        <is>
          <t>2026-05-06</t>
        </is>
      </c>
    </row>
    <row r="75" ht="40" customHeight="1">
      <c r="A75" s="95" t="inlineStr">
        <is>
          <t>IT-3038783</t>
        </is>
      </c>
      <c r="B75" s="96" t="inlineStr">
        <is>
          <t>Timing of/Missing Data Load (Highmark)</t>
        </is>
      </c>
      <c r="C75" s="96" t="inlineStr">
        <is>
          <t>We have noticed that the timing between when the data load is completed and when that new claim information is available in Datameer is unclear. For example, the data load was completed on Saturday 5/2, however there have not been any new claims loaded into our Datameer reports yet this week. We would like to get a clear and consistent expectation of when the data load information will be loaded into Datameer. A “load date” field in Datameer might also be helpful to better track this. Thank you!</t>
        </is>
      </c>
      <c r="D75" s="96" t="inlineStr">
        <is>
          <t>Waiting for user response Username: tanya.trujic Manager name : Steve Roman Employee ID: 159742 Date of Join: unsure Location: remote Vendor: Highmark Datameer Service Request https://forms.office.com/pages/responsepage.aspx?id=ajGAdp5exUylLp7onujEBBT8yBL1vrdCraXH-rL5RCNURENPWkJIMkVCTlBFUDA5ODRJMFhEODA5Uy4u&amp;route=shorturl Datameer Link: https://usapmeer02.cotiviti.com:8443/browser Asking John Pacete for any information he has about who loads data for Datameer. There are not stored procedures on Stage or Production servers that appear to mention Datameer in Highmark.</t>
        </is>
      </c>
      <c r="E75" s="96" t="inlineStr"/>
      <c r="F75" s="95" t="inlineStr">
        <is>
          <t>Active</t>
        </is>
      </c>
      <c r="G75" s="95" t="inlineStr">
        <is>
          <t>2026-05-06</t>
        </is>
      </c>
    </row>
    <row r="76" ht="40" customHeight="1">
      <c r="A76" s="93" t="inlineStr">
        <is>
          <t>IT-3038766</t>
        </is>
      </c>
      <c r="B76" s="94" t="inlineStr">
        <is>
          <t>VfcApprovedCptHcpcs Replacement Table</t>
        </is>
      </c>
      <c r="C76" s="94" t="inlineStr">
        <is>
          <t>Complete replacement of existing table with attached table. This is outside the normal cadence for table updates as we noticed missing rows from the last updated table to what is present in MCL. Claims are not qualifying for SpotCheck resulting in and estimation of about $150,000.00 of opportunities being missed.</t>
        </is>
      </c>
      <c r="D76" s="94" t="inlineStr">
        <is>
          <t>VfcApprovedCptHcpcs Table.xlsx (82 kB)</t>
        </is>
      </c>
      <c r="E76" s="94" t="inlineStr"/>
      <c r="F76" s="93" t="inlineStr">
        <is>
          <t>In Progress (HD1)</t>
        </is>
      </c>
      <c r="G76" s="93" t="inlineStr">
        <is>
          <t>2026-05-06</t>
        </is>
      </c>
    </row>
    <row r="77" ht="40" customHeight="1">
      <c r="A77" s="95" t="inlineStr">
        <is>
          <t>IT-3038479</t>
        </is>
      </c>
      <c r="B77" s="96" t="inlineStr">
        <is>
          <t>Update the tracker with the newly deployed TBA and History Lean Ingestion pipelines for bcbsnc - facets that are now live in production.</t>
        </is>
      </c>
      <c r="C77" s="96" t="inlineStr">
        <is>
          <t>Hello Jani, Shaik , The bcbsnc–facets pipelines have been successfully deployed and are now live in production. Going forward, the published lean ingestion pipelines will be used to process both institutional and professional files for tba and history. It is requested you to update the tracker accordingly. TBA institutional and professional 2022-08-03-97147120 --&gt; 2026-04-07-133324457 report: 2026-04-20-24849739 2022-08-03-97049508 --&gt; 2026-04-07-133216901 report: 2026-04-20-24997280 History institutional and professional 2022-08-03-97220326 --&gt; 2026-04-07-133484166 report: 2026-04-20-25612275 2022-08-03-97338599 --&gt; 2026-04-07-132804256 report: 2026-04-20-25531017 Thank You</t>
        </is>
      </c>
      <c r="D77" s="96" t="inlineStr"/>
      <c r="E77" s="96" t="inlineStr">
        <is>
          <t>Details recorded accordingly.</t>
        </is>
      </c>
      <c r="F77" s="95" t="inlineStr">
        <is>
          <t>Closed</t>
        </is>
      </c>
      <c r="G77" s="95" t="inlineStr">
        <is>
          <t>2026-05-06</t>
        </is>
      </c>
    </row>
    <row r="78" ht="40" customHeight="1">
      <c r="A78" s="93" t="inlineStr">
        <is>
          <t>IT-3036949</t>
        </is>
      </c>
      <c r="B78" s="94" t="inlineStr">
        <is>
          <t>Nile Production Support Ticket Management Efforts</t>
        </is>
      </c>
      <c r="C78" s="94" t="inlineStr">
        <is>
          <t>Nile Production Support Ticket Management Efforts</t>
        </is>
      </c>
      <c r="D78" s="94" t="inlineStr"/>
      <c r="E78" s="94" t="inlineStr">
        <is>
          <t>Closing the ticket for the sprint efforts and will be creating a new ticket for the upcoming sprint.</t>
        </is>
      </c>
      <c r="F78" s="93" t="inlineStr">
        <is>
          <t>Closed</t>
        </is>
      </c>
      <c r="G78" s="93" t="inlineStr">
        <is>
          <t>2026-05-05</t>
        </is>
      </c>
    </row>
    <row r="79" ht="40" customHeight="1">
      <c r="A79" s="95" t="inlineStr">
        <is>
          <t>IT-3036803</t>
        </is>
      </c>
      <c r="B79" s="96" t="inlineStr">
        <is>
          <t>CEPOH and CEPSC Pipeline</t>
        </is>
      </c>
      <c r="C79" s="96" t="inlineStr">
        <is>
          <t>Please update pipeline so that they are prepared to handle up to 24 files per day for both CEPOH and CEPSC. Files should increment as needed.</t>
        </is>
      </c>
      <c r="D79" s="96" t="inlineStr">
        <is>
          <t>Change implemented</t>
        </is>
      </c>
      <c r="E79" s="96" t="inlineStr">
        <is>
          <t>Change implemented</t>
        </is>
      </c>
      <c r="F79" s="95" t="inlineStr">
        <is>
          <t>Closed</t>
        </is>
      </c>
      <c r="G79" s="95" t="inlineStr">
        <is>
          <t>2026-05-05</t>
        </is>
      </c>
    </row>
    <row r="80" ht="40" customHeight="1">
      <c r="A80" s="93" t="inlineStr">
        <is>
          <t>IT-3036445</t>
        </is>
      </c>
      <c r="B80" s="94" t="inlineStr">
        <is>
          <t>Pipeline: dm-amerihealth-results-actian_migration_claims_detail | Data Date: 2026/05/05 | Failure</t>
        </is>
      </c>
      <c r="C80" s="94" t="inlineStr">
        <is>
          <t>Pipeline: dm-amerihealth-results-actian_migration_claims_detail , Version: V1.3, Data Date: 2026/05/05 Error Message: Exiting Process with failure.Key source-file: /dataingestionprod/restricted/218-amerihealth-results/rawincoming/2024-09-20-102280221/1.3/125369.115465/20260505/1/NCDS_ClaimsRecovery.05012026.zip/NCDS_ClaimsRecovery.05012026.txt is zero-byte and Size: 0 . Stopping Ingestion Process as configured as mandatory file (Source section). We got CONFIRMATION from Karyn (EDM) to proceed with the loading without NCDS_ClaimsRecovery file. Thank you</t>
        </is>
      </c>
      <c r="D80" s="94" t="inlineStr">
        <is>
          <t>Hi Enid Ike pipeline completed please check wth Karyn Thanks Added a new minor to handle empty datasets we will monitor for next week Thanks Satish Devatha Hi Enid Ike pipeline completed.</t>
        </is>
      </c>
      <c r="E80" s="94" t="inlineStr">
        <is>
          <t>pipeline completed</t>
        </is>
      </c>
      <c r="F80" s="93" t="inlineStr">
        <is>
          <t>Closed</t>
        </is>
      </c>
      <c r="G80" s="93" t="inlineStr">
        <is>
          <t>2026-05-05</t>
        </is>
      </c>
    </row>
    <row r="81" ht="40" customHeight="1">
      <c r="A81" s="95" t="inlineStr">
        <is>
          <t>IT-3036246</t>
        </is>
      </c>
      <c r="B81" s="96" t="inlineStr">
        <is>
          <t>No claims received in client BAZHC</t>
        </is>
      </c>
      <c r="C81" s="96" t="inlineStr">
        <is>
          <t>Good morning! We are not seeing a 5/05/2026 batch for client BAZHC. Please confirm if we are to expect flagged claims for CV nurse review today. Thanks so much.</t>
        </is>
      </c>
      <c r="D81" s="96" t="inlineStr">
        <is>
          <t>The files that came on 5/5 looked much smaller compared to the most daily files. Occasionally, we do get very small files (e.g. 4/1, and also 5/7) for this past month. File transimision seemed normal, no issue. Thank you melly Per Lindsey, This can be closed. Can be closed per Lindsey's.</t>
        </is>
      </c>
      <c r="E81" s="96" t="inlineStr">
        <is>
          <t>Client sent much smaller files that day. This happened in the past as well.</t>
        </is>
      </c>
      <c r="F81" s="95" t="inlineStr">
        <is>
          <t>Closed</t>
        </is>
      </c>
      <c r="G81" s="95" t="inlineStr">
        <is>
          <t>2026-05-05</t>
        </is>
      </c>
    </row>
    <row r="82" ht="40" customHeight="1">
      <c r="A82" s="93" t="inlineStr">
        <is>
          <t>IT-3034484</t>
        </is>
      </c>
      <c r="B82" s="94" t="inlineStr">
        <is>
          <t>Copy Humana Notouch Data from Nile Dev and Nile QC to Nile Prod</t>
        </is>
      </c>
      <c r="C82" s="94" t="inlineStr">
        <is>
          <t>Hello Team, Reason for this request: Humana ARK Notouch CDF has received sign-off from the business and we are now planning to transition this client to the Production Support team. As part of the checklist document, we need to copy the production data from the Nile Dev and Nile QC environments to Nile Production. I have attached the document containing all the relevant paths. Could you please help us with the data copy. Business Sign-Off Received: ✅ Yes Nile Peer Review: ✅ Yes Entities: Notouch Data Source Environment: NILE DEV and Nile QC Target Environment : NILE PROD Data Range/Volumes: 202505–20260430 (Daily) Additional Notes: If the data already exists in prod, Please leave them as it is. Note : Please retain the user/group permissions Date Needed By: 11/05/2026</t>
        </is>
      </c>
      <c r="D82" s="94" t="inlineStr">
        <is>
          <t>Humana-casmetavance_notouch_copy from dev to prod.xlsx (25 kB) Hello Del Rosario, Sylma Joy , Could you please provide approval for Sathish to copy the Humana NoTouch data from Nile Dev / Nile QC to Nile Prod? Approved. Hi Shaik, Parveena files copied please verify Thanks Satish Devatha updated permissions too Thanks Humana-CasMetavance_DEV_QC_Pord_copy_20260506.sh</t>
        </is>
      </c>
      <c r="E82" s="94" t="inlineStr">
        <is>
          <t>Files Copied</t>
        </is>
      </c>
      <c r="F82" s="93" t="inlineStr">
        <is>
          <t>Closed</t>
        </is>
      </c>
      <c r="G82" s="93" t="inlineStr">
        <is>
          <t>2026-05-05</t>
        </is>
      </c>
    </row>
    <row r="83" ht="40" customHeight="1">
      <c r="A83" s="95" t="inlineStr">
        <is>
          <t>IT-3034213</t>
        </is>
      </c>
      <c r="B83" s="96" t="inlineStr">
        <is>
          <t>Missing HMSMC file from PC</t>
        </is>
      </c>
      <c r="C83" s="96" t="inlineStr">
        <is>
          <t>Hi Nile team, The below file stopped generating logs while processing. We have stopped the file from running and are waiting on further instructions from our internal teams. Can you please have the CSM reach out to the client informing them that we will process the file as soon as our internal team is done investigating? hmsmc_daily_incoming_1.05-04-2026_1320</t>
        </is>
      </c>
      <c r="D83" s="96" t="inlineStr">
        <is>
          <t>We reprocessed this file on NILE side and PC team confirmed that the resulting output file was successfully processed and returned to client on PC side.</t>
        </is>
      </c>
      <c r="E83" s="96" t="inlineStr">
        <is>
          <t>We reprocessed this file on NILE side and PC team confirmed that the resulting output file was successfully processed and returned to client on PC side.</t>
        </is>
      </c>
      <c r="F83" s="95" t="inlineStr">
        <is>
          <t>Closed</t>
        </is>
      </c>
      <c r="G83" s="95" t="inlineStr">
        <is>
          <t>2026-05-04</t>
        </is>
      </c>
    </row>
    <row r="84" ht="40" customHeight="1">
      <c r="A84" s="93" t="inlineStr">
        <is>
          <t>IT-3034078</t>
        </is>
      </c>
      <c r="B84" s="94" t="inlineStr">
        <is>
          <t>Please re-ingest Independence claim files from November 2025.</t>
        </is>
      </c>
      <c r="C84" s="94" t="inlineStr">
        <is>
          <t>Please re-ingest Independence claim files from November 2025 into a temporary target table. Pipeline: dm-independence-ibc-actian_migration_claims Filenames: con_clm_extract_r_20251105_184051.txt con_clm_extract_r_20251112_184249.txt con_clm_extract_r_20251119_183705.txt Target Table: IndependenceDataRaw.dbo.OSCAR_Claims_Load_monthly_Nov2025</t>
        </is>
      </c>
      <c r="D84" s="94" t="inlineStr">
        <is>
          <t>The files were loaded successfully, and the user confirmed that the data is visible in the respective table.</t>
        </is>
      </c>
      <c r="E84" s="94" t="inlineStr">
        <is>
          <t>The files were loaded successfully, and the user confirmed.</t>
        </is>
      </c>
      <c r="F84" s="93" t="inlineStr">
        <is>
          <t>Closed</t>
        </is>
      </c>
      <c r="G84" s="93" t="inlineStr">
        <is>
          <t>2026-05-04</t>
        </is>
      </c>
    </row>
    <row r="85" ht="40" customHeight="1">
      <c r="A85" s="95" t="inlineStr">
        <is>
          <t>IT-3033204</t>
        </is>
      </c>
      <c r="B85" s="96" t="inlineStr">
        <is>
          <t>BCBS ND Raw data sample</t>
        </is>
      </c>
      <c r="C85" s="96" t="inlineStr">
        <is>
          <t>Requesting a sample of BCBS ND raw data to confirm a field is being populated and sent to us from client. CC_CUSTOM_FIELD_04 is renamed from a field we import as User095, I'd like to see where User095 is mapped from to verify that we are getting values for that field of Claims data</t>
        </is>
      </c>
      <c r="D85" s="96" t="inlineStr">
        <is>
          <t>Hi Pham, Dang AS discussed please find the details</t>
        </is>
      </c>
      <c r="E85" s="96" t="inlineStr">
        <is>
          <t>shared details</t>
        </is>
      </c>
      <c r="F85" s="95" t="inlineStr">
        <is>
          <t>Closed</t>
        </is>
      </c>
      <c r="G85" s="95" t="inlineStr">
        <is>
          <t>2026-05-04</t>
        </is>
      </c>
    </row>
    <row r="86" ht="40" customHeight="1">
      <c r="A86" s="93" t="inlineStr">
        <is>
          <t>IT-3032951</t>
        </is>
      </c>
      <c r="B86" s="94" t="inlineStr">
        <is>
          <t>Copy files From Nile Prod Raw path to Nile QC Raw path - Aetna Trad</t>
        </is>
      </c>
      <c r="C86" s="94" t="inlineStr">
        <is>
          <t>Hi Team, Could you please copy the below mentioned files from the Nile PROD location to the Nile QC location? for the last week files, 04/26/2026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86" s="94" t="inlineStr"/>
      <c r="E86" s="94" t="inlineStr">
        <is>
          <t>Data Copied</t>
        </is>
      </c>
      <c r="F86" s="93" t="inlineStr">
        <is>
          <t>Closed</t>
        </is>
      </c>
      <c r="G86" s="93" t="inlineStr">
        <is>
          <t>2026-05-04</t>
        </is>
      </c>
    </row>
    <row r="87" ht="40" customHeight="1">
      <c r="A87" s="95" t="inlineStr">
        <is>
          <t>IT-3032175</t>
        </is>
      </c>
      <c r="B87" s="96" t="inlineStr">
        <is>
          <t>OLA Discussion</t>
        </is>
      </c>
      <c r="C87" s="96" t="inlineStr">
        <is>
          <t>OLA Discussions to keep track efforts on the same.</t>
        </is>
      </c>
      <c r="D87" s="96" t="inlineStr">
        <is>
          <t>Yet to work on other configs.</t>
        </is>
      </c>
      <c r="E87" s="96" t="inlineStr"/>
      <c r="F87" s="95" t="inlineStr">
        <is>
          <t>On Hold</t>
        </is>
      </c>
      <c r="G87" s="95" t="inlineStr">
        <is>
          <t>2026-05-04</t>
        </is>
      </c>
    </row>
    <row r="88" ht="40" customHeight="1">
      <c r="A88" s="93" t="inlineStr">
        <is>
          <t>IT-3029195</t>
        </is>
      </c>
      <c r="B88" s="94" t="inlineStr">
        <is>
          <t>Texas Children Health Plan RCCV Prod Transition Documents Review</t>
        </is>
      </c>
      <c r="C88" s="94" t="inlineStr">
        <is>
          <t>Please review the prod transition checklist documents for Texas Children Health Plan RCCV and let us know if any changes are needed. Creating this ticket as a placeholder. Will update ticket with document links once complete.</t>
        </is>
      </c>
      <c r="D88" s="94" t="inlineStr">
        <is>
          <t>Awaiting documents Checklist: https://cotiviti.sharepoint.com/:w:/r/sites/EDMEngineeringTeam/_layouts/15/Doc.aspx?sourcedoc=%7B8A09E507-C822-442B-9DC8-FA13FAB6DB11%7D&amp;file=TCHP_RCCV_DataIngestion_Production_Job_Transition_Checklist.docx&amp;action=default&amp;mobileredirect=true Escalation Doc: https://cotiviti.sharepoint.com/:x:/r/sites/EDMEngineeringTeam/_layouts/15/Doc.aspx?sourcedoc=%7BE499C4CC-DA7C-483A-A8D1-A082D5C9F2D7%7D&amp;file=TCHP%20Data%20Escalation%20Plan%2020260507.xlsx&amp;action=default&amp;mobileredirect=true</t>
        </is>
      </c>
      <c r="E88" s="94" t="inlineStr"/>
      <c r="F88" s="93" t="inlineStr">
        <is>
          <t>On Hold</t>
        </is>
      </c>
      <c r="G88" s="93" t="inlineStr">
        <is>
          <t>2026-05-01</t>
        </is>
      </c>
    </row>
    <row r="89" ht="40" customHeight="1">
      <c r="A89" s="95" t="inlineStr">
        <is>
          <t>IT-3029187</t>
        </is>
      </c>
      <c r="B89" s="96" t="inlineStr">
        <is>
          <t>Please review the updated escalation Plan - Triple S</t>
        </is>
      </c>
      <c r="C89" s="96" t="inlineStr">
        <is>
          <t>Hi Jani, Would you mind reviewing this ticket from Sara? It is assigned and completed by PC team, but there is an excel sheet inside that ticket. We probably will need to update our escalation too? thank you Jani, melly [IT-3029025] Updated Triple S escalation plan - Service Desk</t>
        </is>
      </c>
      <c r="D89" s="96" t="inlineStr"/>
      <c r="E89" s="96" t="inlineStr">
        <is>
          <t>Respective items have been addressed.</t>
        </is>
      </c>
      <c r="F89" s="95" t="inlineStr">
        <is>
          <t>Closed</t>
        </is>
      </c>
      <c r="G89" s="95" t="inlineStr">
        <is>
          <t>2026-05-01</t>
        </is>
      </c>
    </row>
    <row r="90" ht="40" customHeight="1">
      <c r="A90" s="93" t="inlineStr">
        <is>
          <t>IT-3029172</t>
        </is>
      </c>
      <c r="B90" s="94" t="inlineStr">
        <is>
          <t>Raw data - eligibility data needed for specific members for three clients - HCSC - HAMP - Cigna</t>
        </is>
      </c>
      <c r="C90" s="94" t="inlineStr">
        <is>
          <t>Because we are fulfilling a research request, please share the raw data from eligibility file for the given CnlymemberIds in the attachment</t>
        </is>
      </c>
      <c r="D90" s="94" t="inlineStr">
        <is>
          <t>! {05DD23D8-46F4-43C1-ACCE-3FAEA9D80DA1} .png|thumbnail! Need Monday May 4, 2026 Shared the details with Ray, Mita Thanks Satish Devatha</t>
        </is>
      </c>
      <c r="E90" s="94" t="inlineStr">
        <is>
          <t>Shared the details as requested</t>
        </is>
      </c>
      <c r="F90" s="93" t="inlineStr">
        <is>
          <t>Closed</t>
        </is>
      </c>
      <c r="G90" s="93" t="inlineStr">
        <is>
          <t>2026-05-01</t>
        </is>
      </c>
    </row>
    <row r="91" ht="40" customHeight="1">
      <c r="A91" s="95" t="inlineStr">
        <is>
          <t>IT-3029129</t>
        </is>
      </c>
      <c r="B91" s="96" t="inlineStr">
        <is>
          <t>Humana PPM Prod Transition Documents Review</t>
        </is>
      </c>
      <c r="C91" s="96" t="inlineStr">
        <is>
          <t>Please review the prod transition checklist documents for Humana PPM and let us know if any changes are needed. Creating this ticket as a placeholder. Will update ticket with document links once complete.</t>
        </is>
      </c>
      <c r="D91" s="96" t="inlineStr">
        <is>
          <t>Awaiting documents. Checklist: https://cotiviti.sharepoint.com/:w:/r/sites/EDMEngineeringTeam/_layouts/15/Doc.aspx?sourcedoc=%7BB490FDCD-F34A-4AEC-BCD7-216CD30E7A91%7D&amp;file=Humana_PPM_DataIngestion_Production_Job_Transition_Checklist.docx&amp;action=default&amp;mobileredirect=true Escalation doc: https://cotiviti.sharepoint.com/:w:/r/sites/EDMEngineeringTeam/_layouts/15/Doc.aspx?sourcedoc=%7B1954C877-DE8A-469D-98D3-D139ACA29530%7D&amp;file=Humana%20Cotiviti%20PCA%20Escalation%20Plan%20Update%204.27.2026.docx&amp;action=default&amp;mobileredirect=true As noted via email, there are still a few pending items and I will send an update once those are complete. Awaiting Live files and full transition.</t>
        </is>
      </c>
      <c r="E91" s="96" t="inlineStr"/>
      <c r="F91" s="95" t="inlineStr">
        <is>
          <t>On Hold</t>
        </is>
      </c>
      <c r="G91" s="95" t="inlineStr">
        <is>
          <t>2026-05-01</t>
        </is>
      </c>
    </row>
    <row r="92" ht="40" customHeight="1">
      <c r="A92" s="93" t="inlineStr">
        <is>
          <t>IT-3028896</t>
        </is>
      </c>
      <c r="B92" s="94" t="inlineStr">
        <is>
          <t>Please copy files from Prod to Dev &amp; QC - (bcbsla-facets)</t>
        </is>
      </c>
      <c r="C92" s="94" t="inlineStr">
        <is>
          <t>Hello Nile prod team, can you please copy files from prod to target locations. Please see the attached spreadsheet (BCBSLA_CopyProdFiles_Dec2025.xlsx) for a list of source paths, target paths and files to pull. Spreadsheet includes two tabs, one to copy files from PROD to DEV and the other to copy the same files from prod to QC</t>
        </is>
      </c>
      <c r="D92" s="94" t="inlineStr">
        <is>
          <t>BCBSLA_CopyProdFiles_Dec2025.xlsx Hi Gallegos, Diane Files copied please verify and let me know i will update permissions. Thanks bcbsla-facets_prod_dev_qc_copy.sh</t>
        </is>
      </c>
      <c r="E92" s="94" t="inlineStr">
        <is>
          <t>Files Copied</t>
        </is>
      </c>
      <c r="F92" s="93" t="inlineStr">
        <is>
          <t>Closed</t>
        </is>
      </c>
      <c r="G92" s="93" t="inlineStr">
        <is>
          <t>2026-05-01</t>
        </is>
      </c>
    </row>
    <row r="94">
      <c r="A94" s="34" t="inlineStr">
        <is>
          <t>To recategorize: go to Raw — May 2026 → find ticket → use Category dropdown → re-run python run.py to refresh this list.</t>
        </is>
      </c>
    </row>
  </sheetData>
  <mergeCells count="3">
    <mergeCell ref="A94:G94"/>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Configuration Issue</t>
        </is>
      </c>
    </row>
    <row r="2">
      <c r="A2" t="inlineStr">
        <is>
          <t>File Issue</t>
        </is>
      </c>
    </row>
    <row r="3">
      <c r="A3" t="inlineStr">
        <is>
          <t>Spooler issue</t>
        </is>
      </c>
    </row>
    <row r="4">
      <c r="A4" t="inlineStr">
        <is>
          <t>Data Issue</t>
        </is>
      </c>
    </row>
    <row r="5">
      <c r="A5" t="inlineStr">
        <is>
          <t>File Missing</t>
        </is>
      </c>
    </row>
    <row r="6">
      <c r="A6" t="inlineStr">
        <is>
          <t>Unmatched raw data count</t>
        </is>
      </c>
    </row>
    <row r="7">
      <c r="A7" t="inlineStr">
        <is>
          <t>Pipeline Schedule</t>
        </is>
      </c>
    </row>
    <row r="8">
      <c r="A8" t="inlineStr">
        <is>
          <t>DB Issue</t>
        </is>
      </c>
    </row>
    <row r="9">
      <c r="A9" t="inlineStr">
        <is>
          <t>Metric drop</t>
        </is>
      </c>
    </row>
    <row r="10">
      <c r="A10" t="inlineStr">
        <is>
          <t>Schema issue</t>
        </is>
      </c>
    </row>
    <row r="11">
      <c r="A11" t="inlineStr">
        <is>
          <t>Issue Platform</t>
        </is>
      </c>
    </row>
    <row r="12">
      <c r="A12"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2026-05-28T05:58:09Z</dcterms:created>
  <dcterms:modified xmlns:dcterms="http://purl.org/dc/terms/" xmlns:xsi="http://www.w3.org/2001/XMLSchema-instance" xsi:type="dcterms:W3CDTF">2026-05-28T05:58:47Z</dcterms:modified>
</cp:coreProperties>
</file>