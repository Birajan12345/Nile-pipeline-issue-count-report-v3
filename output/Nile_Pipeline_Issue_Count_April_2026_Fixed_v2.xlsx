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_categories" sheetId="3" state="hidden" r:id="rId3"/>
    <sheet xmlns:r="http://schemas.openxmlformats.org/officeDocument/2006/relationships" name="Monthly Summary" sheetId="4" state="visible" r:id="rId4"/>
    <sheet xmlns:r="http://schemas.openxmlformats.org/officeDocument/2006/relationships" name="Needs Review" sheetId="5" state="visible" r:id="rId5"/>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1">
    <numFmt numFmtId="164" formatCode="0.0%"/>
  </numFmts>
  <fonts count="36">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155724"/>
      <sz val="11"/>
    </font>
    <font>
      <b val="1"/>
      <color rgb="00FFFFFF"/>
      <sz val="11"/>
    </font>
    <font>
      <b val="1"/>
      <sz val="11"/>
    </font>
    <font>
      <b val="1"/>
      <color rgb="003B6D11"/>
      <sz val="11"/>
    </font>
    <font>
      <b val="1"/>
      <color rgb="005B9BD5"/>
      <sz val="10"/>
    </font>
    <font>
      <b val="1"/>
      <color rgb="004472C4"/>
      <sz val="10"/>
    </font>
    <font>
      <b val="1"/>
      <color rgb="00FF0000"/>
      <sz val="10"/>
    </font>
    <font>
      <b val="1"/>
      <color rgb="00ED7D31"/>
      <sz val="10"/>
    </font>
    <font>
      <b val="1"/>
      <color rgb="00FFC000"/>
      <sz val="10"/>
    </font>
    <font>
      <color rgb="00888780"/>
      <sz val="11"/>
    </font>
    <font>
      <b val="1"/>
      <color rgb="0000B050"/>
      <sz val="10"/>
    </font>
    <font>
      <b val="1"/>
      <color rgb="00FF8C00"/>
      <sz val="10"/>
    </font>
    <font>
      <b val="1"/>
      <color rgb="0000B0F0"/>
      <sz val="10"/>
    </font>
    <font>
      <b val="1"/>
      <color rgb="007030A0"/>
      <sz val="10"/>
    </font>
    <font>
      <b val="1"/>
      <color rgb="00FF69B4"/>
      <sz val="10"/>
    </font>
    <font>
      <b val="1"/>
      <color rgb="00A32D2D"/>
      <sz val="11"/>
    </font>
    <font>
      <b val="1"/>
      <color rgb="0000B0B0"/>
      <sz val="10"/>
    </font>
    <font>
      <b val="1"/>
      <color rgb="00D9D9D9"/>
      <sz val="10"/>
    </font>
    <font>
      <i val="1"/>
      <color rgb="00888780"/>
      <sz val="9"/>
    </font>
    <font>
      <b val="1"/>
      <color rgb="001F3864"/>
      <sz val="14"/>
    </font>
    <font>
      <b val="1"/>
      <color rgb="001F3864"/>
      <sz val="16"/>
    </font>
    <font>
      <b val="1"/>
      <color rgb="00444444"/>
      <sz val="12"/>
    </font>
    <font>
      <b val="1"/>
      <color rgb="00888780"/>
      <sz val="11"/>
    </font>
    <font>
      <b val="1"/>
    </font>
    <font>
      <b val="1"/>
      <color rgb="00FFFFFF"/>
      <sz val="13"/>
    </font>
    <font>
      <i val="1"/>
      <color rgb="00C00000"/>
      <sz val="11"/>
    </font>
    <font>
      <sz val="10"/>
    </font>
  </fonts>
  <fills count="23">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D4EDDA"/>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155724"/>
      </left>
      <right style="thin">
        <color rgb="00155724"/>
      </right>
      <top style="thin">
        <color rgb="00155724"/>
      </top>
      <bottom style="thin">
        <color rgb="00155724"/>
      </bottom>
    </border>
    <border>
      <left style="thin">
        <color rgb="00CCCCCC"/>
      </left>
      <right style="thin">
        <color rgb="00CCCCCC"/>
      </right>
      <top style="thin">
        <color rgb="00CCCCCC"/>
      </top>
      <bottom style="thin">
        <color rgb="00CCCCCC"/>
      </bottom>
    </border>
  </borders>
  <cellStyleXfs count="1">
    <xf numFmtId="0" fontId="0" fillId="0" borderId="0"/>
  </cellStyleXfs>
  <cellXfs count="9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2" fillId="7" borderId="8" applyAlignment="1" pivotButton="0" quotePrefix="0" xfId="0">
      <alignment horizontal="center" vertical="center"/>
    </xf>
    <xf numFmtId="0" fontId="14" fillId="7" borderId="8" applyAlignment="1" pivotButton="0" quotePrefix="0" xfId="0">
      <alignment horizontal="left" vertical="center"/>
    </xf>
    <xf numFmtId="0" fontId="15" fillId="0" borderId="8" applyAlignment="1" pivotButton="0" quotePrefix="0" xfId="0">
      <alignment horizontal="left" vertical="center"/>
    </xf>
    <xf numFmtId="0" fontId="16" fillId="7" borderId="8" applyAlignment="1" pivotButton="0" quotePrefix="0" xfId="0">
      <alignment horizontal="left" vertical="center"/>
    </xf>
    <xf numFmtId="0" fontId="17" fillId="0" borderId="8" applyAlignment="1" pivotButton="0" quotePrefix="0" xfId="0">
      <alignment horizontal="left" vertical="center"/>
    </xf>
    <xf numFmtId="0" fontId="18" fillId="7" borderId="8" applyAlignment="1" pivotButton="0" quotePrefix="0" xfId="0">
      <alignment horizontal="center" vertical="center"/>
    </xf>
    <xf numFmtId="0" fontId="19" fillId="7" borderId="8" applyAlignment="1" pivotButton="0" quotePrefix="0" xfId="0">
      <alignment horizontal="left" vertical="center"/>
    </xf>
    <xf numFmtId="0" fontId="20" fillId="0" borderId="8" applyAlignment="1" pivotButton="0" quotePrefix="0" xfId="0">
      <alignment horizontal="left" vertical="center"/>
    </xf>
    <xf numFmtId="0" fontId="21" fillId="7" borderId="8" applyAlignment="1" pivotButton="0" quotePrefix="0" xfId="0">
      <alignment horizontal="left" vertical="center"/>
    </xf>
    <xf numFmtId="0" fontId="22" fillId="0" borderId="8" applyAlignment="1" pivotButton="0" quotePrefix="0" xfId="0">
      <alignment horizontal="left" vertical="center"/>
    </xf>
    <xf numFmtId="0" fontId="23" fillId="7" borderId="8" applyAlignment="1" pivotButton="0" quotePrefix="0" xfId="0">
      <alignment horizontal="left" vertical="center"/>
    </xf>
    <xf numFmtId="0" fontId="24" fillId="0" borderId="8" applyAlignment="1" pivotButton="0" quotePrefix="0" xfId="0">
      <alignment horizontal="center" vertical="center"/>
    </xf>
    <xf numFmtId="0" fontId="25" fillId="0" borderId="8" applyAlignment="1" pivotButton="0" quotePrefix="0" xfId="0">
      <alignment horizontal="left" vertical="center"/>
    </xf>
    <xf numFmtId="0" fontId="24" fillId="7" borderId="8" applyAlignment="1" pivotButton="0" quotePrefix="0" xfId="0">
      <alignment horizontal="center" vertical="center"/>
    </xf>
    <xf numFmtId="0" fontId="26" fillId="7"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7" fillId="0" borderId="0" applyAlignment="1" pivotButton="0" quotePrefix="0" xfId="0">
      <alignment horizontal="center"/>
    </xf>
    <xf numFmtId="0" fontId="28"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3"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7" fillId="7" borderId="8" applyAlignment="1" pivotButton="0" quotePrefix="0" xfId="0">
      <alignment vertical="top"/>
    </xf>
    <xf numFmtId="0" fontId="13" fillId="0" borderId="8" applyAlignment="1" pivotButton="0" quotePrefix="0" xfId="0">
      <alignment vertical="top"/>
    </xf>
    <xf numFmtId="0" fontId="14" fillId="7" borderId="8" applyAlignment="1" pivotButton="0" quotePrefix="0" xfId="0">
      <alignment vertical="top"/>
    </xf>
    <xf numFmtId="0" fontId="16" fillId="0" borderId="8" applyAlignment="1" pivotButton="0" quotePrefix="0" xfId="0">
      <alignment vertical="top"/>
    </xf>
    <xf numFmtId="0" fontId="20" fillId="7" borderId="8" applyAlignment="1" pivotButton="0" quotePrefix="0" xfId="0">
      <alignment vertical="top"/>
    </xf>
    <xf numFmtId="0" fontId="14" fillId="0" borderId="8" applyAlignment="1" pivotButton="0" quotePrefix="0" xfId="0">
      <alignment vertical="top"/>
    </xf>
    <xf numFmtId="0" fontId="26" fillId="7" borderId="8" applyAlignment="1" pivotButton="0" quotePrefix="0" xfId="0">
      <alignment vertical="top"/>
    </xf>
    <xf numFmtId="0" fontId="26" fillId="0" borderId="8" applyAlignment="1" pivotButton="0" quotePrefix="0" xfId="0">
      <alignment vertical="top"/>
    </xf>
    <xf numFmtId="0" fontId="16" fillId="7" borderId="8" applyAlignment="1" pivotButton="0" quotePrefix="0" xfId="0">
      <alignment vertical="top"/>
    </xf>
    <xf numFmtId="0" fontId="15" fillId="0" borderId="8" applyAlignment="1" pivotButton="0" quotePrefix="0" xfId="0">
      <alignment vertical="top"/>
    </xf>
    <xf numFmtId="0" fontId="13" fillId="7" borderId="8" applyAlignment="1" pivotButton="0" quotePrefix="0" xfId="0">
      <alignment vertical="top"/>
    </xf>
    <xf numFmtId="0" fontId="17" fillId="0" borderId="8" applyAlignment="1" pivotButton="0" quotePrefix="0" xfId="0">
      <alignment vertical="top"/>
    </xf>
    <xf numFmtId="0" fontId="19" fillId="0" borderId="8" applyAlignment="1" pivotButton="0" quotePrefix="0" xfId="0">
      <alignment vertical="top"/>
    </xf>
    <xf numFmtId="0" fontId="15" fillId="7" borderId="8" applyAlignment="1" pivotButton="0" quotePrefix="0" xfId="0">
      <alignment vertical="top"/>
    </xf>
    <xf numFmtId="0" fontId="25" fillId="7" borderId="8" applyAlignment="1" pivotButton="0" quotePrefix="0" xfId="0">
      <alignment vertical="top"/>
    </xf>
    <xf numFmtId="0" fontId="22" fillId="7" borderId="8" applyAlignment="1" pivotButton="0" quotePrefix="0" xfId="0">
      <alignment vertical="top"/>
    </xf>
    <xf numFmtId="0" fontId="23" fillId="7" borderId="8" applyAlignment="1" pivotButton="0" quotePrefix="0" xfId="0">
      <alignment vertical="top"/>
    </xf>
    <xf numFmtId="0" fontId="20" fillId="0" borderId="8" applyAlignment="1" pivotButton="0" quotePrefix="0" xfId="0">
      <alignment vertical="top"/>
    </xf>
    <xf numFmtId="0" fontId="21" fillId="0" borderId="8" applyAlignment="1" pivotButton="0" quotePrefix="0" xfId="0">
      <alignment vertical="top"/>
    </xf>
    <xf numFmtId="0" fontId="19" fillId="7" borderId="8" applyAlignment="1" pivotButton="0" quotePrefix="0" xfId="0">
      <alignment vertical="top"/>
    </xf>
    <xf numFmtId="0" fontId="21" fillId="7" borderId="8" applyAlignment="1" pivotButton="0" quotePrefix="0" xfId="0">
      <alignment vertical="top"/>
    </xf>
    <xf numFmtId="0" fontId="22" fillId="0" borderId="8" applyAlignment="1" pivotButton="0" quotePrefix="0" xfId="0">
      <alignment vertical="top"/>
    </xf>
    <xf numFmtId="0" fontId="29" fillId="0" borderId="0" applyAlignment="1" pivotButton="0" quotePrefix="0" xfId="0">
      <alignment horizontal="center"/>
    </xf>
    <xf numFmtId="0" fontId="30" fillId="0" borderId="0" pivotButton="0" quotePrefix="0" xfId="0"/>
    <xf numFmtId="0" fontId="0" fillId="0" borderId="8" applyAlignment="1" pivotButton="0" quotePrefix="0" xfId="0">
      <alignment horizontal="left"/>
    </xf>
    <xf numFmtId="164" fontId="0" fillId="0" borderId="8" applyAlignment="1" pivotButton="0" quotePrefix="0" xfId="0">
      <alignment horizontal="center" vertical="center"/>
    </xf>
    <xf numFmtId="0" fontId="0" fillId="9" borderId="8" pivotButton="0" quotePrefix="0" xfId="0"/>
    <xf numFmtId="0" fontId="0" fillId="7" borderId="8" applyAlignment="1" pivotButton="0" quotePrefix="0" xfId="0">
      <alignment horizontal="left"/>
    </xf>
    <xf numFmtId="164" fontId="0" fillId="7" borderId="8" applyAlignment="1" pivotButton="0" quotePrefix="0" xfId="0">
      <alignment horizontal="center" vertical="center"/>
    </xf>
    <xf numFmtId="0" fontId="0" fillId="10" borderId="8" pivotButton="0" quotePrefix="0" xfId="0"/>
    <xf numFmtId="0" fontId="0" fillId="11" borderId="8" pivotButton="0" quotePrefix="0" xfId="0"/>
    <xf numFmtId="0" fontId="0" fillId="12" borderId="8" pivotButton="0" quotePrefix="0" xfId="0"/>
    <xf numFmtId="0" fontId="0" fillId="13" borderId="8" pivotButton="0" quotePrefix="0" xfId="0"/>
    <xf numFmtId="0" fontId="31" fillId="7" borderId="8" applyAlignment="1" pivotButton="0" quotePrefix="0" xfId="0">
      <alignment horizontal="center" vertical="center"/>
    </xf>
    <xf numFmtId="0" fontId="0" fillId="14" borderId="8" pivotButton="0" quotePrefix="0" xfId="0"/>
    <xf numFmtId="0" fontId="0" fillId="15" borderId="8" pivotButton="0" quotePrefix="0" xfId="0"/>
    <xf numFmtId="0" fontId="0" fillId="16" borderId="8" pivotButton="0" quotePrefix="0" xfId="0"/>
    <xf numFmtId="0" fontId="0" fillId="17" borderId="8" pivotButton="0" quotePrefix="0" xfId="0"/>
    <xf numFmtId="0" fontId="0" fillId="18" borderId="8" pivotButton="0" quotePrefix="0" xfId="0"/>
    <xf numFmtId="0" fontId="0" fillId="19" borderId="8" pivotButton="0" quotePrefix="0" xfId="0"/>
    <xf numFmtId="0" fontId="0" fillId="20" borderId="8" pivotButton="0" quotePrefix="0" xfId="0"/>
    <xf numFmtId="0" fontId="32" fillId="0" borderId="8" pivotButton="0" quotePrefix="0" xfId="0"/>
    <xf numFmtId="0" fontId="0" fillId="0" borderId="8" applyAlignment="1" pivotButton="0" quotePrefix="0" xfId="0">
      <alignment horizontal="center"/>
    </xf>
    <xf numFmtId="0" fontId="0" fillId="0" borderId="8" pivotButton="0" quotePrefix="0" xfId="0"/>
    <xf numFmtId="0" fontId="33" fillId="21" borderId="0" applyAlignment="1" pivotButton="0" quotePrefix="0" xfId="0">
      <alignment horizontal="center" vertical="center"/>
    </xf>
    <xf numFmtId="0" fontId="34" fillId="0" borderId="0" applyAlignment="1" pivotButton="0" quotePrefix="0" xfId="0">
      <alignment horizontal="left" vertical="center" indent="1"/>
    </xf>
    <xf numFmtId="0" fontId="10" fillId="21" borderId="8" applyAlignment="1" pivotButton="0" quotePrefix="0" xfId="0">
      <alignment horizontal="center" vertical="center"/>
    </xf>
    <xf numFmtId="0" fontId="35" fillId="22" borderId="8" applyAlignment="1" pivotButton="0" quotePrefix="0" xfId="0">
      <alignment vertical="top"/>
    </xf>
    <xf numFmtId="0" fontId="35" fillId="22" borderId="8" applyAlignment="1" pivotButton="0" quotePrefix="0" xfId="0">
      <alignment vertical="top" wrapText="1"/>
    </xf>
    <xf numFmtId="0" fontId="35" fillId="0" borderId="8" applyAlignment="1" pivotButton="0" quotePrefix="0" xfId="0">
      <alignment vertical="top"/>
    </xf>
    <xf numFmtId="0" fontId="35" fillId="0"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  Auto-generated</t>
        </is>
      </c>
    </row>
    <row r="3" ht="8" customHeight="1">
      <c r="A3" s="3" t="n"/>
    </row>
    <row r="4" ht="10" customHeight="1"/>
    <row r="5" ht="20" customHeight="1">
      <c r="A5" s="4" t="inlineStr">
        <is>
          <t>Total Issues</t>
        </is>
      </c>
      <c r="C5" s="5" t="inlineStr">
        <is>
          <t>Spooler issue</t>
        </is>
      </c>
      <c r="E5" s="6" t="inlineStr">
        <is>
          <t>Configuration Issue</t>
        </is>
      </c>
      <c r="G5" s="5" t="inlineStr">
        <is>
          <t>Needs Review</t>
        </is>
      </c>
    </row>
    <row r="6" ht="32" customHeight="1">
      <c r="A6" s="7">
        <f>COUNTIF('Raw Tickets'!$V$3:$V$10000,"&lt;&gt;")</f>
        <v/>
      </c>
      <c r="C6" s="8" t="inlineStr">
        <is>
          <t>31</t>
        </is>
      </c>
      <c r="E6" s="9" t="inlineStr">
        <is>
          <t>29</t>
        </is>
      </c>
      <c r="G6" s="8">
        <f>TEXT(IF(COUNTIF('Raw Tickets'!$V$3:$V$10000,"&lt;&gt;")&gt;0,COUNTIF('Raw Tickets'!$V$3:$V$10000,"Other")/COUNTIF('Raw Tickets'!$V$3:$V$10000,"&lt;&gt;"),0),"0.0%")</f>
        <v/>
      </c>
    </row>
    <row r="7" ht="10" customHeight="1"/>
    <row r="8" ht="10" customHeight="1"/>
    <row r="9" ht="28" customHeight="1">
      <c r="A9" s="10" t="inlineStr">
        <is>
          <t>✓  Health Status:  Categorization rate is healthy. Top issue this month: Spooler issue (31). Total issues tracked: 236.</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29</v>
      </c>
      <c r="C13" s="14" t="inlineStr">
        <is>
          <t>12.3%</t>
        </is>
      </c>
      <c r="D13" s="15" t="inlineStr">
        <is>
          <t>▲ +7</t>
        </is>
      </c>
      <c r="E13" s="16" t="inlineStr">
        <is>
          <t>█████████</t>
        </is>
      </c>
    </row>
    <row r="14" ht="20" customHeight="1">
      <c r="A14" s="17" t="inlineStr">
        <is>
          <t>File Issue</t>
        </is>
      </c>
      <c r="B14" s="18" t="n">
        <v>28</v>
      </c>
      <c r="C14" s="19" t="inlineStr">
        <is>
          <t>11.9%</t>
        </is>
      </c>
      <c r="D14" s="20" t="inlineStr">
        <is>
          <t>▲ +4</t>
        </is>
      </c>
      <c r="E14" s="21" t="inlineStr">
        <is>
          <t>████████</t>
        </is>
      </c>
    </row>
    <row r="15" ht="20" customHeight="1">
      <c r="A15" s="12" t="inlineStr">
        <is>
          <t>Spooler issue</t>
        </is>
      </c>
      <c r="B15" s="13" t="n">
        <v>31</v>
      </c>
      <c r="C15" s="14" t="inlineStr">
        <is>
          <t>13.1%</t>
        </is>
      </c>
      <c r="D15" s="15" t="inlineStr">
        <is>
          <t>▲ +8</t>
        </is>
      </c>
      <c r="E15" s="22" t="inlineStr">
        <is>
          <t>█████████</t>
        </is>
      </c>
    </row>
    <row r="16" ht="20" customHeight="1">
      <c r="A16" s="17" t="inlineStr">
        <is>
          <t>Data Issue</t>
        </is>
      </c>
      <c r="B16" s="18" t="n">
        <v>16</v>
      </c>
      <c r="C16" s="19" t="inlineStr">
        <is>
          <t>6.8%</t>
        </is>
      </c>
      <c r="D16" s="20" t="inlineStr">
        <is>
          <t>▲ +4</t>
        </is>
      </c>
      <c r="E16" s="23" t="inlineStr">
        <is>
          <t>█████</t>
        </is>
      </c>
    </row>
    <row r="17" ht="20" customHeight="1">
      <c r="A17" s="12" t="inlineStr">
        <is>
          <t>File Missing</t>
        </is>
      </c>
      <c r="B17" s="13" t="n">
        <v>20</v>
      </c>
      <c r="C17" s="14" t="inlineStr">
        <is>
          <t>8.5%</t>
        </is>
      </c>
      <c r="D17" s="15" t="inlineStr">
        <is>
          <t>▲ +2</t>
        </is>
      </c>
      <c r="E17" s="24" t="inlineStr">
        <is>
          <t>██████</t>
        </is>
      </c>
    </row>
    <row r="18" ht="20" customHeight="1">
      <c r="A18" s="17" t="inlineStr">
        <is>
          <t>Unmatched raw data count</t>
        </is>
      </c>
      <c r="B18" s="18" t="n">
        <v>4</v>
      </c>
      <c r="C18" s="19" t="inlineStr">
        <is>
          <t>1.7%</t>
        </is>
      </c>
      <c r="D18" s="25" t="inlineStr">
        <is>
          <t>— same</t>
        </is>
      </c>
      <c r="E18" s="26" t="inlineStr">
        <is>
          <t>█</t>
        </is>
      </c>
    </row>
    <row r="19" ht="20" customHeight="1">
      <c r="A19" s="12" t="inlineStr">
        <is>
          <t>Pipeline Schedule</t>
        </is>
      </c>
      <c r="B19" s="13" t="n">
        <v>19</v>
      </c>
      <c r="C19" s="14" t="inlineStr">
        <is>
          <t>8.1%</t>
        </is>
      </c>
      <c r="D19" s="15" t="inlineStr">
        <is>
          <t>▲ +4</t>
        </is>
      </c>
      <c r="E19" s="27" t="inlineStr">
        <is>
          <t>██████</t>
        </is>
      </c>
    </row>
    <row r="20" ht="20" customHeight="1">
      <c r="A20" s="17" t="inlineStr">
        <is>
          <t>DB Issue</t>
        </is>
      </c>
      <c r="B20" s="18" t="n">
        <v>4</v>
      </c>
      <c r="C20" s="19" t="inlineStr">
        <is>
          <t>1.7%</t>
        </is>
      </c>
      <c r="D20" s="20" t="inlineStr">
        <is>
          <t>▲ +1</t>
        </is>
      </c>
      <c r="E20" s="28" t="inlineStr">
        <is>
          <t>█</t>
        </is>
      </c>
    </row>
    <row r="21" ht="20" customHeight="1">
      <c r="A21" s="12" t="inlineStr">
        <is>
          <t>Metric drop</t>
        </is>
      </c>
      <c r="B21" s="13" t="n">
        <v>5</v>
      </c>
      <c r="C21" s="14" t="inlineStr">
        <is>
          <t>2.1%</t>
        </is>
      </c>
      <c r="D21" s="15" t="inlineStr">
        <is>
          <t>▲ +2</t>
        </is>
      </c>
      <c r="E21" s="29" t="inlineStr">
        <is>
          <t>█</t>
        </is>
      </c>
    </row>
    <row r="22" ht="20" customHeight="1">
      <c r="A22" s="17" t="inlineStr">
        <is>
          <t>Schema issue</t>
        </is>
      </c>
      <c r="B22" s="18" t="n">
        <v>8</v>
      </c>
      <c r="C22" s="19" t="inlineStr">
        <is>
          <t>3.4%</t>
        </is>
      </c>
      <c r="D22" s="20" t="inlineStr">
        <is>
          <t>▲ +1</t>
        </is>
      </c>
      <c r="E22" s="30" t="inlineStr">
        <is>
          <t>██</t>
        </is>
      </c>
    </row>
    <row r="23" ht="20" customHeight="1">
      <c r="A23" s="12" t="inlineStr">
        <is>
          <t>Issue Platform</t>
        </is>
      </c>
      <c r="B23" s="13" t="n">
        <v>4</v>
      </c>
      <c r="C23" s="14" t="inlineStr">
        <is>
          <t>1.7%</t>
        </is>
      </c>
      <c r="D23" s="31" t="inlineStr">
        <is>
          <t>▼ -1</t>
        </is>
      </c>
      <c r="E23" s="32" t="inlineStr">
        <is>
          <t>█</t>
        </is>
      </c>
    </row>
    <row r="24" ht="20" customHeight="1">
      <c r="A24" s="17" t="inlineStr">
        <is>
          <t>Other</t>
        </is>
      </c>
      <c r="B24" s="18" t="n">
        <v>68</v>
      </c>
      <c r="C24" s="19" t="inlineStr">
        <is>
          <t>28.8%</t>
        </is>
      </c>
      <c r="D24" s="33" t="inlineStr">
        <is>
          <t>▼ -32</t>
        </is>
      </c>
      <c r="E24" s="34" t="inlineStr">
        <is>
          <t>████████████████████</t>
        </is>
      </c>
    </row>
    <row r="25" ht="22" customHeight="1">
      <c r="A25" s="35" t="inlineStr">
        <is>
          <t>TOTAL</t>
        </is>
      </c>
      <c r="B25" s="36" t="n">
        <v>236</v>
      </c>
      <c r="C25" s="36" t="inlineStr">
        <is>
          <t>100%</t>
        </is>
      </c>
      <c r="D25" s="36" t="n"/>
      <c r="E25" s="36" t="n"/>
    </row>
    <row r="27" ht="16" customHeight="1">
      <c r="A27" s="37" t="inlineStr">
        <is>
          <t>All figures are auto-generated from the Jira export. Re-run the tracker to refresh. Needs Review tickets require manual categorization.</t>
        </is>
      </c>
    </row>
  </sheetData>
  <mergeCells count="13">
    <mergeCell ref="A9:H9"/>
    <mergeCell ref="A3:H3"/>
    <mergeCell ref="E6:F6"/>
    <mergeCell ref="C6:D6"/>
    <mergeCell ref="A2:H2"/>
    <mergeCell ref="C5:D5"/>
    <mergeCell ref="A5:B5"/>
    <mergeCell ref="G5:H5"/>
    <mergeCell ref="E5:F5"/>
    <mergeCell ref="G6:H6"/>
    <mergeCell ref="A1:H1"/>
    <mergeCell ref="A27:H27"/>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8" t="inlineStr">
        <is>
          <t>NILE Pipeline Issues — April 2026</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9" t="inlineStr">
        <is>
          <t>IT-3023323</t>
        </is>
      </c>
      <c r="B3" s="39" t="inlineStr">
        <is>
          <t>IT-3023323</t>
        </is>
      </c>
      <c r="C3" s="39" t="inlineStr"/>
      <c r="D3" s="40" t="inlineStr">
        <is>
          <t>Monthly pipeline dm-uhc-unet-actian_migration_provider_npi_detail has failed for data date: 202604</t>
        </is>
      </c>
      <c r="E3" s="40" t="inlineStr">
        <is>
          <t>Pipeline dm-uhc-unet-actian_migration_provider_npi_detail has failed with the error message: Source file schema is not matching with the Table Schema, Please check Column names and their Data-types. Please investigate</t>
        </is>
      </c>
      <c r="F3" s="40" t="inlineStr">
        <is>
          <t>We are using the dm-uhc-unet-actian_migration_provider_npi_detail _newtemp pipeline, so we won't need to ingest with this pipeline anymore. Thank you melly</t>
        </is>
      </c>
      <c r="G3" s="40" t="inlineStr">
        <is>
          <t>Use the _newtemp pipeline to ingest.</t>
        </is>
      </c>
      <c r="H3" s="39" t="inlineStr">
        <is>
          <t>Other</t>
        </is>
      </c>
      <c r="I3" s="39" t="inlineStr">
        <is>
          <t>Other</t>
        </is>
      </c>
      <c r="J3" s="39" t="inlineStr"/>
      <c r="K3" s="39" t="inlineStr">
        <is>
          <t>Closed</t>
        </is>
      </c>
      <c r="L3" s="39" t="inlineStr">
        <is>
          <t>2026-04-29</t>
        </is>
      </c>
      <c r="M3" s="39" t="inlineStr">
        <is>
          <t>2026-04-30</t>
        </is>
      </c>
      <c r="N3" s="39" t="inlineStr">
        <is>
          <t>Nile Production Support</t>
        </is>
      </c>
      <c r="O3" s="39" t="inlineStr">
        <is>
          <t>Unassigned</t>
        </is>
      </c>
      <c r="P3" s="39" t="inlineStr">
        <is>
          <t>Acharya, Suraj</t>
        </is>
      </c>
      <c r="Q3" s="39" t="inlineStr">
        <is>
          <t>Resolved</t>
        </is>
      </c>
      <c r="R3" s="40" t="inlineStr">
        <is>
          <t>We are using the dm-uhc-unet-actian_migration_provider_npi_detail _newtemp pipeline, so we won't need to ingest with this pipeline anymore. Thank you melly</t>
        </is>
      </c>
      <c r="S3" s="39" t="inlineStr"/>
      <c r="T3" s="39" t="inlineStr"/>
      <c r="U3" s="39" t="inlineStr"/>
      <c r="V3" s="41" t="inlineStr">
        <is>
          <t>Schema issue</t>
        </is>
      </c>
      <c r="W3" s="39" t="inlineStr"/>
    </row>
    <row r="4">
      <c r="A4" s="42" t="inlineStr">
        <is>
          <t>IT-3023321</t>
        </is>
      </c>
      <c r="B4" s="42" t="inlineStr">
        <is>
          <t>IT-3023321</t>
        </is>
      </c>
      <c r="C4" s="42" t="inlineStr"/>
      <c r="D4" s="43" t="inlineStr">
        <is>
          <t>HCSCG - History PROF &amp; INST. Files Missing - 04/28/2026</t>
        </is>
      </c>
      <c r="E4" s="43" t="inlineStr">
        <is>
          <t>Hi Nile Team, We are missing HCSCG History Professional and Institutional for 04/24, So please check and provide us an update. hcscg_history_incoming_1 hcscg_ophistory_incoming_1</t>
        </is>
      </c>
      <c r="F4" s="43" t="inlineStr"/>
      <c r="G4" s="43" t="inlineStr">
        <is>
          <t>Files received and processed successfully.</t>
        </is>
      </c>
      <c r="H4" s="42" t="inlineStr"/>
      <c r="I4" s="42" t="inlineStr"/>
      <c r="J4" s="42" t="inlineStr"/>
      <c r="K4" s="42" t="inlineStr">
        <is>
          <t>Closed</t>
        </is>
      </c>
      <c r="L4" s="42" t="inlineStr">
        <is>
          <t>2026-04-29</t>
        </is>
      </c>
      <c r="M4" s="42" t="inlineStr">
        <is>
          <t>2026-05-01</t>
        </is>
      </c>
      <c r="N4" s="42" t="inlineStr">
        <is>
          <t>Nile Production Support</t>
        </is>
      </c>
      <c r="O4" s="42" t="inlineStr">
        <is>
          <t>Unassigned</t>
        </is>
      </c>
      <c r="P4" s="42" t="inlineStr">
        <is>
          <t>Gudala, Kumaraswamy</t>
        </is>
      </c>
      <c r="Q4" s="42" t="inlineStr">
        <is>
          <t>Closed</t>
        </is>
      </c>
      <c r="R4" s="43" t="inlineStr"/>
      <c r="S4" s="42" t="inlineStr"/>
      <c r="T4" s="42" t="inlineStr"/>
      <c r="U4" s="42" t="inlineStr"/>
      <c r="V4" s="44" t="inlineStr">
        <is>
          <t>File Missing</t>
        </is>
      </c>
      <c r="W4" s="42" t="inlineStr"/>
    </row>
    <row r="5">
      <c r="A5" s="39" t="inlineStr">
        <is>
          <t>IT-3023116</t>
        </is>
      </c>
      <c r="B5" s="39" t="inlineStr">
        <is>
          <t>IT-3023116</t>
        </is>
      </c>
      <c r="C5" s="39" t="inlineStr"/>
      <c r="D5" s="40" t="inlineStr">
        <is>
          <t>dm-bcbs_ma_bcbs_ma-actian_migration_caqh_and_bmc_workflow_CHC_BCBS_MA_ADH_CAQH_Load_NILE</t>
        </is>
      </c>
      <c r="E5" s="40"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40" t="inlineStr"/>
      <c r="G5" s="40" t="inlineStr">
        <is>
          <t>Updated {"source_data_pattern": "CAQH File .*.xlsx", "source_entity_1_file_pattern": "CAQH File.*.xlsx"}</t>
        </is>
      </c>
      <c r="H5" s="39" t="inlineStr">
        <is>
          <t>Other</t>
        </is>
      </c>
      <c r="I5" s="39" t="inlineStr">
        <is>
          <t>Other</t>
        </is>
      </c>
      <c r="J5" s="39" t="inlineStr"/>
      <c r="K5" s="39" t="inlineStr">
        <is>
          <t>Closed</t>
        </is>
      </c>
      <c r="L5" s="39" t="inlineStr">
        <is>
          <t>2026-04-29</t>
        </is>
      </c>
      <c r="M5" s="39" t="inlineStr">
        <is>
          <t>2026-04-29</t>
        </is>
      </c>
      <c r="N5" s="39" t="inlineStr">
        <is>
          <t>Nile Production Support</t>
        </is>
      </c>
      <c r="O5" s="39" t="inlineStr">
        <is>
          <t>Unassigned</t>
        </is>
      </c>
      <c r="P5" s="39" t="inlineStr">
        <is>
          <t>Easley, Keaton</t>
        </is>
      </c>
      <c r="Q5" s="39" t="inlineStr">
        <is>
          <t>Resolved</t>
        </is>
      </c>
      <c r="R5" s="40" t="inlineStr"/>
      <c r="S5" s="39" t="inlineStr"/>
      <c r="T5" s="39" t="inlineStr"/>
      <c r="U5" s="39" t="inlineStr"/>
      <c r="V5" s="45" t="inlineStr">
        <is>
          <t>Configuration Issue</t>
        </is>
      </c>
      <c r="W5" s="39" t="inlineStr"/>
    </row>
    <row r="6">
      <c r="A6" s="42" t="inlineStr">
        <is>
          <t>IT-3022913</t>
        </is>
      </c>
      <c r="B6" s="42" t="inlineStr">
        <is>
          <t>IT-3022913</t>
        </is>
      </c>
      <c r="C6" s="42" t="inlineStr"/>
      <c r="D6" s="43" t="inlineStr">
        <is>
          <t>BCBS_MA CAQH files not ingested for April '26</t>
        </is>
      </c>
      <c r="E6" s="43"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3" t="inlineStr"/>
      <c r="G6" s="43" t="inlineStr">
        <is>
          <t>Ingestion completed for all outstanding files</t>
        </is>
      </c>
      <c r="H6" s="42" t="inlineStr"/>
      <c r="I6" s="42" t="inlineStr"/>
      <c r="J6" s="42" t="inlineStr"/>
      <c r="K6" s="42" t="inlineStr">
        <is>
          <t>Closed</t>
        </is>
      </c>
      <c r="L6" s="42" t="inlineStr">
        <is>
          <t>2026-04-29</t>
        </is>
      </c>
      <c r="M6" s="42" t="inlineStr">
        <is>
          <t>2026-04-30</t>
        </is>
      </c>
      <c r="N6" s="42" t="inlineStr">
        <is>
          <t>Nile Production Support</t>
        </is>
      </c>
      <c r="O6" s="42" t="inlineStr">
        <is>
          <t>Unassigned</t>
        </is>
      </c>
      <c r="P6" s="42" t="inlineStr">
        <is>
          <t>Vandanath, Teena</t>
        </is>
      </c>
      <c r="Q6" s="42" t="inlineStr">
        <is>
          <t>Closed</t>
        </is>
      </c>
      <c r="R6" s="43" t="inlineStr"/>
      <c r="S6" s="42" t="inlineStr"/>
      <c r="T6" s="42" t="inlineStr"/>
      <c r="U6" s="42" t="inlineStr"/>
      <c r="V6" s="46" t="inlineStr">
        <is>
          <t>File Issue</t>
        </is>
      </c>
      <c r="W6" s="42" t="inlineStr"/>
    </row>
    <row r="7">
      <c r="A7" s="39" t="inlineStr">
        <is>
          <t>IT-3022274</t>
        </is>
      </c>
      <c r="B7" s="39" t="inlineStr">
        <is>
          <t>IT-3022274</t>
        </is>
      </c>
      <c r="C7" s="39" t="inlineStr"/>
      <c r="D7" s="40" t="inlineStr">
        <is>
          <t>Request for Data Validation: Claim Raw/model vs NILE Raw Data (Claims Header Fields)</t>
        </is>
      </c>
      <c r="E7" s="40"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40" t="inlineStr"/>
      <c r="G7" s="40" t="inlineStr"/>
      <c r="H7" s="39" t="inlineStr">
        <is>
          <t>Other</t>
        </is>
      </c>
      <c r="I7" s="39" t="inlineStr">
        <is>
          <t>Other</t>
        </is>
      </c>
      <c r="J7" s="39" t="inlineStr"/>
      <c r="K7" s="39" t="inlineStr">
        <is>
          <t>Open</t>
        </is>
      </c>
      <c r="L7" s="39" t="inlineStr">
        <is>
          <t>2026-04-29</t>
        </is>
      </c>
      <c r="M7" s="39" t="inlineStr">
        <is>
          <t>2026-04-29</t>
        </is>
      </c>
      <c r="N7" s="39" t="inlineStr">
        <is>
          <t>Nile Production Support</t>
        </is>
      </c>
      <c r="O7" s="39" t="inlineStr">
        <is>
          <t>Unassigned</t>
        </is>
      </c>
      <c r="P7" s="39" t="inlineStr">
        <is>
          <t>Hagelin, Lindsay</t>
        </is>
      </c>
      <c r="Q7" s="39" t="inlineStr">
        <is>
          <t>Unresolved</t>
        </is>
      </c>
      <c r="R7" s="40" t="inlineStr"/>
      <c r="S7" s="39" t="inlineStr"/>
      <c r="T7" s="39" t="inlineStr"/>
      <c r="U7" s="39" t="inlineStr"/>
      <c r="V7" s="47" t="inlineStr">
        <is>
          <t>Data Issue</t>
        </is>
      </c>
      <c r="W7" s="39" t="inlineStr"/>
    </row>
    <row r="8">
      <c r="A8" s="42" t="inlineStr">
        <is>
          <t>IT-3022254</t>
        </is>
      </c>
      <c r="B8" s="42" t="inlineStr">
        <is>
          <t>IT-3022254</t>
        </is>
      </c>
      <c r="C8" s="42" t="inlineStr"/>
      <c r="D8" s="43" t="inlineStr">
        <is>
          <t>Update to "MsrLobConcurrencyRates" Table</t>
        </is>
      </c>
      <c r="E8" s="43" t="inlineStr">
        <is>
          <t>Please do a full replacement of the existing table. There was an update to the values for a Medicaid state and we need those reflected in SpotCheck for claim accuracy. This is a one off from the normal cadence schedule.</t>
        </is>
      </c>
      <c r="F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3" t="inlineStr"/>
      <c r="H8" s="42" t="inlineStr">
        <is>
          <t>Other</t>
        </is>
      </c>
      <c r="I8" s="42" t="inlineStr">
        <is>
          <t>Other</t>
        </is>
      </c>
      <c r="J8" s="42" t="inlineStr"/>
      <c r="K8" s="42" t="inlineStr">
        <is>
          <t>In Progress (HD1)</t>
        </is>
      </c>
      <c r="L8" s="42" t="inlineStr">
        <is>
          <t>2026-04-29</t>
        </is>
      </c>
      <c r="M8" s="42" t="inlineStr">
        <is>
          <t>2026-05-06</t>
        </is>
      </c>
      <c r="N8" s="42" t="inlineStr">
        <is>
          <t>Nile Production Support</t>
        </is>
      </c>
      <c r="O8" s="42" t="inlineStr">
        <is>
          <t>Unassigned</t>
        </is>
      </c>
      <c r="P8" s="42" t="inlineStr">
        <is>
          <t>Knochel, Tanya</t>
        </is>
      </c>
      <c r="Q8" s="42" t="inlineStr">
        <is>
          <t>Unresolved</t>
        </is>
      </c>
      <c r="R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42" t="inlineStr"/>
      <c r="T8" s="42" t="inlineStr"/>
      <c r="U8" s="42" t="inlineStr"/>
      <c r="V8" s="48" t="inlineStr">
        <is>
          <t>Pipeline Schedule</t>
        </is>
      </c>
      <c r="W8" s="42" t="inlineStr"/>
    </row>
    <row r="9">
      <c r="A9" s="39" t="inlineStr">
        <is>
          <t>IT-3021950</t>
        </is>
      </c>
      <c r="B9" s="39" t="inlineStr">
        <is>
          <t>IT-3021950</t>
        </is>
      </c>
      <c r="C9" s="39" t="inlineStr"/>
      <c r="D9" s="40" t="inlineStr">
        <is>
          <t>bcbsnjhorizon_facets_no_touch failed due to file path does not exist.</t>
        </is>
      </c>
      <c r="E9" s="40" t="inlineStr">
        <is>
          <t>Pipeline: bcbsnjhorizon_facets_no_touch Got failed in Preprocessor [data-preprocessor] stage due to file path does not exist, since the files is already available in spooler location. Please do check on the file path location for the file.</t>
        </is>
      </c>
      <c r="F9" s="40" t="inlineStr">
        <is>
          <t>Hi Raya, Birajan file processed Thanks Satish Devatha</t>
        </is>
      </c>
      <c r="G9" s="40" t="inlineStr">
        <is>
          <t>file processed</t>
        </is>
      </c>
      <c r="H9" s="39" t="inlineStr">
        <is>
          <t>Other</t>
        </is>
      </c>
      <c r="I9" s="39" t="inlineStr">
        <is>
          <t>Other</t>
        </is>
      </c>
      <c r="J9" s="39" t="inlineStr"/>
      <c r="K9" s="39" t="inlineStr">
        <is>
          <t>Closed</t>
        </is>
      </c>
      <c r="L9" s="39" t="inlineStr">
        <is>
          <t>2026-04-29</t>
        </is>
      </c>
      <c r="M9" s="39" t="inlineStr">
        <is>
          <t>2026-04-29</t>
        </is>
      </c>
      <c r="N9" s="39" t="inlineStr">
        <is>
          <t>Nile Production Support</t>
        </is>
      </c>
      <c r="O9" s="39" t="inlineStr">
        <is>
          <t>Unassigned</t>
        </is>
      </c>
      <c r="P9" s="39" t="inlineStr">
        <is>
          <t>Raya, Birajan</t>
        </is>
      </c>
      <c r="Q9" s="39" t="inlineStr">
        <is>
          <t>Resolved</t>
        </is>
      </c>
      <c r="R9" s="40" t="inlineStr">
        <is>
          <t>Hi Raya, Birajan file processed Thanks Satish Devatha</t>
        </is>
      </c>
      <c r="S9" s="39" t="inlineStr"/>
      <c r="T9" s="39" t="inlineStr"/>
      <c r="U9" s="39" t="inlineStr"/>
      <c r="V9" s="49" t="inlineStr">
        <is>
          <t>File Issue</t>
        </is>
      </c>
      <c r="W9" s="39" t="inlineStr"/>
    </row>
    <row r="10">
      <c r="A10" s="42" t="inlineStr">
        <is>
          <t>IT-3021831</t>
        </is>
      </c>
      <c r="B10" s="42" t="inlineStr">
        <is>
          <t>IT-3021831</t>
        </is>
      </c>
      <c r="C10" s="42" t="inlineStr"/>
      <c r="D10" s="43" t="inlineStr">
        <is>
          <t>CLONE - Peer Review for Aetna-Trad-SCM BMC pipeline Optimization</t>
        </is>
      </c>
      <c r="E10"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3" t="inlineStr"/>
      <c r="G10" s="43" t="inlineStr">
        <is>
          <t>Since it's a direct bmc pipeline it doesn't require any changes.</t>
        </is>
      </c>
      <c r="H10" s="42" t="inlineStr">
        <is>
          <t>Other</t>
        </is>
      </c>
      <c r="I10" s="42" t="inlineStr">
        <is>
          <t>Other</t>
        </is>
      </c>
      <c r="J10" s="42" t="inlineStr"/>
      <c r="K10" s="42" t="inlineStr">
        <is>
          <t>Closed</t>
        </is>
      </c>
      <c r="L10" s="42" t="inlineStr">
        <is>
          <t>2026-04-29</t>
        </is>
      </c>
      <c r="M10" s="42" t="inlineStr">
        <is>
          <t>2026-04-30</t>
        </is>
      </c>
      <c r="N10" s="42" t="inlineStr">
        <is>
          <t>Nile Production Support</t>
        </is>
      </c>
      <c r="O10" s="42" t="inlineStr">
        <is>
          <t>Unassigned</t>
        </is>
      </c>
      <c r="P10" s="42" t="inlineStr">
        <is>
          <t>Kamsetty, Sravani</t>
        </is>
      </c>
      <c r="Q10" s="42" t="inlineStr">
        <is>
          <t>Done</t>
        </is>
      </c>
      <c r="R10" s="43" t="inlineStr"/>
      <c r="S10" s="42" t="inlineStr"/>
      <c r="T10" s="42" t="inlineStr"/>
      <c r="U10" s="42" t="inlineStr"/>
      <c r="V10" s="50" t="inlineStr">
        <is>
          <t>Other</t>
        </is>
      </c>
      <c r="W10" s="42" t="inlineStr">
        <is>
          <t>Yes</t>
        </is>
      </c>
    </row>
    <row r="11">
      <c r="A11" s="39" t="inlineStr">
        <is>
          <t>IT-3021830</t>
        </is>
      </c>
      <c r="B11" s="39" t="inlineStr">
        <is>
          <t>IT-3021830</t>
        </is>
      </c>
      <c r="C11" s="39" t="inlineStr"/>
      <c r="D11" s="40" t="inlineStr">
        <is>
          <t>[BCBS_MI]-Update prechecks for BMC and publish all the child pipelines.</t>
        </is>
      </c>
      <c r="E11" s="40" t="inlineStr">
        <is>
          <t>Update precheck with pipeline version as latest and remove all the unnecessary parameters from the pipeline. Publish all the child pipelines and modify subscribe BMC pipeline versions to latest.</t>
        </is>
      </c>
      <c r="F11" s="40" t="inlineStr">
        <is>
          <t>BMC Pipeline prechecks conditions for pipeline version is updated to latest. Published and scheduled the latest BMC version pipeline. FYI: trigger_bmc_workflow-bcbs_mi_bcbs_mi_monthly Version: V1.6</t>
        </is>
      </c>
      <c r="G11" s="40" t="inlineStr">
        <is>
          <t>BMC Pipeline prechecks conditions for pipeline version is updated to latest. Published and scheduled the latest BMC version pipeline. FYI: trigger_bmc_workflow-bcbs_mi_bcbs_mi_monthly Version: V1.6</t>
        </is>
      </c>
      <c r="H11" s="39" t="inlineStr">
        <is>
          <t>Other</t>
        </is>
      </c>
      <c r="I11" s="39" t="inlineStr">
        <is>
          <t>Other</t>
        </is>
      </c>
      <c r="J11" s="39" t="inlineStr"/>
      <c r="K11" s="39" t="inlineStr">
        <is>
          <t>Closed</t>
        </is>
      </c>
      <c r="L11" s="39" t="inlineStr">
        <is>
          <t>2026-04-29</t>
        </is>
      </c>
      <c r="M11" s="39" t="inlineStr">
        <is>
          <t>2026-05-01</t>
        </is>
      </c>
      <c r="N11" s="39" t="inlineStr">
        <is>
          <t>Nile Production Support</t>
        </is>
      </c>
      <c r="O11" s="39" t="inlineStr">
        <is>
          <t>Unassigned</t>
        </is>
      </c>
      <c r="P11" s="39" t="inlineStr">
        <is>
          <t>Kamsetty, Sravani</t>
        </is>
      </c>
      <c r="Q11" s="39" t="inlineStr">
        <is>
          <t>Resolved</t>
        </is>
      </c>
      <c r="R11" s="40" t="inlineStr">
        <is>
          <t>BMC Pipeline prechecks conditions for pipeline version is updated to latest. Published and scheduled the latest BMC version pipeline. FYI: trigger_bmc_workflow-bcbs_mi_bcbs_mi_monthly Version: V1.6</t>
        </is>
      </c>
      <c r="S11" s="39" t="inlineStr"/>
      <c r="T11" s="39" t="inlineStr"/>
      <c r="U11" s="39" t="inlineStr"/>
      <c r="V11" s="51" t="inlineStr">
        <is>
          <t>Other</t>
        </is>
      </c>
      <c r="W11" s="39" t="inlineStr">
        <is>
          <t>Yes</t>
        </is>
      </c>
    </row>
    <row r="12">
      <c r="A12" s="42" t="inlineStr">
        <is>
          <t>IT-3021086</t>
        </is>
      </c>
      <c r="B12" s="42" t="inlineStr">
        <is>
          <t>IT-3021086</t>
        </is>
      </c>
      <c r="C12" s="42" t="inlineStr"/>
      <c r="D12" s="43" t="inlineStr">
        <is>
          <t>Unmatched cosmosfaclcontractcategory raw data count - 20260428_1 - prod - dm-uhc-cosmos-actian_migration_cosmosfaclcontractcategory</t>
        </is>
      </c>
      <c r="E12" s="43"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3" t="inlineStr">
        <is>
          <t>File processed successfully.</t>
        </is>
      </c>
      <c r="H12" s="42" t="inlineStr">
        <is>
          <t>Other</t>
        </is>
      </c>
      <c r="I12" s="42" t="inlineStr">
        <is>
          <t>Other</t>
        </is>
      </c>
      <c r="J12" s="42" t="inlineStr"/>
      <c r="K12" s="42" t="inlineStr">
        <is>
          <t>Closed</t>
        </is>
      </c>
      <c r="L12" s="42" t="inlineStr">
        <is>
          <t>2026-04-29</t>
        </is>
      </c>
      <c r="M12" s="42" t="inlineStr">
        <is>
          <t>2026-05-05</t>
        </is>
      </c>
      <c r="N12" s="42" t="inlineStr">
        <is>
          <t>Nile Production Support</t>
        </is>
      </c>
      <c r="O12" s="42" t="inlineStr">
        <is>
          <t>Unassigned</t>
        </is>
      </c>
      <c r="P12" s="42" t="inlineStr">
        <is>
          <t>Raya, Birajan</t>
        </is>
      </c>
      <c r="Q12" s="42" t="inlineStr">
        <is>
          <t>Resolved</t>
        </is>
      </c>
      <c r="R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42" t="inlineStr"/>
      <c r="T12" s="42" t="inlineStr"/>
      <c r="U12" s="42" t="inlineStr"/>
      <c r="V12" s="52" t="inlineStr">
        <is>
          <t>Data Issue</t>
        </is>
      </c>
      <c r="W12" s="42" t="inlineStr"/>
    </row>
    <row r="13">
      <c r="A13" s="39" t="inlineStr">
        <is>
          <t>IT-3020658</t>
        </is>
      </c>
      <c r="B13" s="39" t="inlineStr">
        <is>
          <t>IT-3020658</t>
        </is>
      </c>
      <c r="C13" s="39" t="inlineStr"/>
      <c r="D13" s="40" t="inlineStr">
        <is>
          <t>NAS Spoolers failed and pipeline not completed,Hue browser not working in production environment.</t>
        </is>
      </c>
      <c r="E13" s="40" t="inlineStr">
        <is>
          <t>Today, we experienced a Hadoop issue where spoolers failed, pipelines got stuck, and the Hue browser became inaccessible.</t>
        </is>
      </c>
      <c r="F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40"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9" t="inlineStr">
        <is>
          <t>Other</t>
        </is>
      </c>
      <c r="I13" s="39" t="inlineStr">
        <is>
          <t>Other</t>
        </is>
      </c>
      <c r="J13" s="39" t="inlineStr"/>
      <c r="K13" s="39" t="inlineStr">
        <is>
          <t>Closed</t>
        </is>
      </c>
      <c r="L13" s="39" t="inlineStr">
        <is>
          <t>2026-04-29</t>
        </is>
      </c>
      <c r="M13" s="39" t="inlineStr">
        <is>
          <t>2026-04-29</t>
        </is>
      </c>
      <c r="N13" s="39" t="inlineStr">
        <is>
          <t>Nile Production Support</t>
        </is>
      </c>
      <c r="O13" s="39" t="inlineStr">
        <is>
          <t>Unassigned</t>
        </is>
      </c>
      <c r="P13" s="39" t="inlineStr">
        <is>
          <t>Kantimahanti, Ravisankar</t>
        </is>
      </c>
      <c r="Q13" s="39" t="inlineStr">
        <is>
          <t>Resolved</t>
        </is>
      </c>
      <c r="R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9" t="inlineStr"/>
      <c r="T13" s="39" t="inlineStr"/>
      <c r="U13" s="39" t="inlineStr"/>
      <c r="V13" s="53" t="inlineStr">
        <is>
          <t>Spooler issue</t>
        </is>
      </c>
      <c r="W13" s="39" t="inlineStr"/>
    </row>
    <row r="14">
      <c r="A14" s="42" t="inlineStr">
        <is>
          <t>IT-3020610</t>
        </is>
      </c>
      <c r="B14" s="42" t="inlineStr">
        <is>
          <t>IT-3020610</t>
        </is>
      </c>
      <c r="C14" s="42" t="inlineStr"/>
      <c r="D14" s="43" t="inlineStr">
        <is>
          <t>Update the tracker with the newly deployed History Lean Ingestion pipelines for DevotedHealth that are now live in production.</t>
        </is>
      </c>
      <c r="E14" s="43"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3" t="inlineStr"/>
      <c r="G14" s="43" t="inlineStr">
        <is>
          <t>Details recorded accordingly.</t>
        </is>
      </c>
      <c r="H14" s="42" t="inlineStr">
        <is>
          <t>Other</t>
        </is>
      </c>
      <c r="I14" s="42" t="inlineStr">
        <is>
          <t>Other</t>
        </is>
      </c>
      <c r="J14" s="42" t="inlineStr"/>
      <c r="K14" s="42" t="inlineStr">
        <is>
          <t>Closed</t>
        </is>
      </c>
      <c r="L14" s="42" t="inlineStr">
        <is>
          <t>2026-04-29</t>
        </is>
      </c>
      <c r="M14" s="42" t="inlineStr">
        <is>
          <t>2026-05-06</t>
        </is>
      </c>
      <c r="N14" s="42" t="inlineStr">
        <is>
          <t>Nile Production Support</t>
        </is>
      </c>
      <c r="O14" s="42" t="inlineStr">
        <is>
          <t>Unassigned</t>
        </is>
      </c>
      <c r="P14" s="42" t="inlineStr">
        <is>
          <t>Karakavalasa, SriVarshini</t>
        </is>
      </c>
      <c r="Q14" s="42" t="inlineStr">
        <is>
          <t>Resolved</t>
        </is>
      </c>
      <c r="R14" s="43" t="inlineStr"/>
      <c r="S14" s="42" t="inlineStr"/>
      <c r="T14" s="42" t="inlineStr"/>
      <c r="U14" s="42" t="inlineStr"/>
      <c r="V14" s="50" t="inlineStr">
        <is>
          <t>Other</t>
        </is>
      </c>
      <c r="W14" s="42" t="inlineStr">
        <is>
          <t>Yes</t>
        </is>
      </c>
    </row>
    <row r="15">
      <c r="A15" s="39" t="inlineStr">
        <is>
          <t>IT-3020001</t>
        </is>
      </c>
      <c r="B15" s="39" t="inlineStr">
        <is>
          <t>IT-3020001</t>
        </is>
      </c>
      <c r="C15" s="39" t="inlineStr"/>
      <c r="D15" s="40" t="inlineStr">
        <is>
          <t>CIGMC Prof. History File Failure 4/25/2026</t>
        </is>
      </c>
      <c r="E15" s="40"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40"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9" t="inlineStr">
        <is>
          <t>Other</t>
        </is>
      </c>
      <c r="I15" s="39" t="inlineStr">
        <is>
          <t>Other</t>
        </is>
      </c>
      <c r="J15" s="39" t="inlineStr"/>
      <c r="K15" s="39" t="inlineStr">
        <is>
          <t>Closed</t>
        </is>
      </c>
      <c r="L15" s="39" t="inlineStr">
        <is>
          <t>2026-04-28</t>
        </is>
      </c>
      <c r="M15" s="39" t="inlineStr">
        <is>
          <t>2026-05-05</t>
        </is>
      </c>
      <c r="N15" s="39" t="inlineStr">
        <is>
          <t>Nile Production Support</t>
        </is>
      </c>
      <c r="O15" s="39" t="inlineStr">
        <is>
          <t>Unassigned</t>
        </is>
      </c>
      <c r="P15" s="39" t="inlineStr">
        <is>
          <t>Daniels, Ben</t>
        </is>
      </c>
      <c r="Q15" s="39" t="inlineStr">
        <is>
          <t>Resolved</t>
        </is>
      </c>
      <c r="R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9" t="inlineStr"/>
      <c r="T15" s="39" t="inlineStr"/>
      <c r="U15" s="39" t="inlineStr"/>
      <c r="V15" s="49" t="inlineStr">
        <is>
          <t>File Issue</t>
        </is>
      </c>
      <c r="W15" s="39" t="inlineStr"/>
    </row>
    <row r="16">
      <c r="A16" s="42" t="inlineStr">
        <is>
          <t>IT-3019955</t>
        </is>
      </c>
      <c r="B16" s="42" t="inlineStr">
        <is>
          <t>IT-3019955</t>
        </is>
      </c>
      <c r="C16" s="42" t="inlineStr"/>
      <c r="D16" s="43" t="inlineStr">
        <is>
          <t>TXCHP Institutional/TBA Files Failing 4/28/2026</t>
        </is>
      </c>
      <c r="E16" s="43"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3" t="inlineStr">
        <is>
          <t>Melly's email (question): RE: IT-3019955 TXCHP Institutional/TBA Files Failing 4/28/2026 Need to understand what the source files are.. RE: IT-3019955 TXCHP Institutional/TBA Files Failing 4/28/2026</t>
        </is>
      </c>
      <c r="G16" s="43" t="inlineStr"/>
      <c r="H16" s="42" t="inlineStr">
        <is>
          <t>Other</t>
        </is>
      </c>
      <c r="I16" s="42" t="inlineStr">
        <is>
          <t>Other</t>
        </is>
      </c>
      <c r="J16" s="42" t="inlineStr"/>
      <c r="K16" s="42" t="inlineStr">
        <is>
          <t>On Hold</t>
        </is>
      </c>
      <c r="L16" s="42" t="inlineStr">
        <is>
          <t>2026-04-28</t>
        </is>
      </c>
      <c r="M16" s="42" t="inlineStr">
        <is>
          <t>2026-05-05</t>
        </is>
      </c>
      <c r="N16" s="42" t="inlineStr">
        <is>
          <t>Nile Production Support</t>
        </is>
      </c>
      <c r="O16" s="42" t="inlineStr">
        <is>
          <t>Unassigned</t>
        </is>
      </c>
      <c r="P16" s="42" t="inlineStr">
        <is>
          <t>Edwards, Andrea</t>
        </is>
      </c>
      <c r="Q16" s="42" t="inlineStr">
        <is>
          <t>Unresolved</t>
        </is>
      </c>
      <c r="R16" s="43" t="inlineStr">
        <is>
          <t>Melly's email (question): RE: IT-3019955 TXCHP Institutional/TBA Files Failing 4/28/2026 Need to understand what the source files are.. RE: IT-3019955 TXCHP Institutional/TBA Files Failing 4/28/2026</t>
        </is>
      </c>
      <c r="S16" s="42" t="inlineStr"/>
      <c r="T16" s="42" t="inlineStr"/>
      <c r="U16" s="42" t="inlineStr"/>
      <c r="V16" s="46" t="inlineStr">
        <is>
          <t>File Issue</t>
        </is>
      </c>
      <c r="W16" s="42" t="inlineStr"/>
    </row>
    <row r="17">
      <c r="A17" s="39" t="inlineStr">
        <is>
          <t>IT-3019608</t>
        </is>
      </c>
      <c r="B17" s="39" t="inlineStr">
        <is>
          <t>IT-3019608</t>
        </is>
      </c>
      <c r="C17" s="39" t="inlineStr"/>
      <c r="D17" s="40" t="inlineStr">
        <is>
          <t>Pipeline: dm-amerihealth-results-actian_migration_claims_detail | Data Date: 2026/04/28 | Failure</t>
        </is>
      </c>
      <c r="E17" s="40"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40" t="inlineStr">
        <is>
          <t>Hi Enid Ike pipeline completed Thanks Satish Devatha</t>
        </is>
      </c>
      <c r="G17" s="40" t="inlineStr">
        <is>
          <t>pipeline completed</t>
        </is>
      </c>
      <c r="H17" s="39" t="inlineStr">
        <is>
          <t>Other</t>
        </is>
      </c>
      <c r="I17" s="39" t="inlineStr">
        <is>
          <t>Other</t>
        </is>
      </c>
      <c r="J17" s="39" t="inlineStr"/>
      <c r="K17" s="39" t="inlineStr">
        <is>
          <t>Closed</t>
        </is>
      </c>
      <c r="L17" s="39" t="inlineStr">
        <is>
          <t>2026-04-28</t>
        </is>
      </c>
      <c r="M17" s="39" t="inlineStr">
        <is>
          <t>2026-04-28</t>
        </is>
      </c>
      <c r="N17" s="39" t="inlineStr">
        <is>
          <t>Nile Production Support</t>
        </is>
      </c>
      <c r="O17" s="39" t="inlineStr">
        <is>
          <t>Unassigned</t>
        </is>
      </c>
      <c r="P17" s="39" t="inlineStr">
        <is>
          <t>Enid Ike</t>
        </is>
      </c>
      <c r="Q17" s="39" t="inlineStr">
        <is>
          <t>Resolved</t>
        </is>
      </c>
      <c r="R17" s="40" t="inlineStr">
        <is>
          <t>Hi Enid Ike pipeline completed Thanks Satish Devatha</t>
        </is>
      </c>
      <c r="S17" s="39" t="inlineStr"/>
      <c r="T17" s="39" t="inlineStr"/>
      <c r="U17" s="39" t="inlineStr"/>
      <c r="V17" s="51" t="inlineStr">
        <is>
          <t>Other</t>
        </is>
      </c>
      <c r="W17" s="39" t="inlineStr">
        <is>
          <t>Yes</t>
        </is>
      </c>
    </row>
    <row r="18">
      <c r="A18" s="42" t="inlineStr">
        <is>
          <t>IT-3019286</t>
        </is>
      </c>
      <c r="B18" s="42" t="inlineStr">
        <is>
          <t>IT-3019286</t>
        </is>
      </c>
      <c r="C18" s="42" t="inlineStr"/>
      <c r="D18" s="43" t="inlineStr">
        <is>
          <t>BCNAM GWF Flag</t>
        </is>
      </c>
      <c r="E18" s="43"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3" t="inlineStr"/>
      <c r="H18" s="42" t="inlineStr">
        <is>
          <t>Other</t>
        </is>
      </c>
      <c r="I18" s="42" t="inlineStr">
        <is>
          <t>Other</t>
        </is>
      </c>
      <c r="J18" s="42" t="inlineStr"/>
      <c r="K18" s="42" t="inlineStr">
        <is>
          <t>On Hold</t>
        </is>
      </c>
      <c r="L18" s="42" t="inlineStr">
        <is>
          <t>2026-04-28</t>
        </is>
      </c>
      <c r="M18" s="42" t="inlineStr">
        <is>
          <t>2026-05-05</t>
        </is>
      </c>
      <c r="N18" s="42" t="inlineStr">
        <is>
          <t>Nile Production Support</t>
        </is>
      </c>
      <c r="O18" s="42" t="inlineStr">
        <is>
          <t>Unassigned</t>
        </is>
      </c>
      <c r="P18" s="42" t="inlineStr">
        <is>
          <t>Giri, Kushal</t>
        </is>
      </c>
      <c r="Q18" s="42" t="inlineStr">
        <is>
          <t>Unresolved</t>
        </is>
      </c>
      <c r="R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42" t="inlineStr"/>
      <c r="T18" s="42" t="inlineStr"/>
      <c r="U18" s="42" t="inlineStr"/>
      <c r="V18" s="54" t="inlineStr">
        <is>
          <t>Configuration Issue</t>
        </is>
      </c>
      <c r="W18" s="42" t="inlineStr"/>
    </row>
    <row r="19">
      <c r="A19" s="39" t="inlineStr">
        <is>
          <t>IT-3018431</t>
        </is>
      </c>
      <c r="B19" s="39" t="inlineStr">
        <is>
          <t>IT-3018431</t>
        </is>
      </c>
      <c r="C19" s="39" t="inlineStr"/>
      <c r="D19" s="40" t="inlineStr">
        <is>
          <t>Update to Molina post pay claim extract file</t>
        </is>
      </c>
      <c r="E19" s="40"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40" t="inlineStr">
        <is>
          <t>RE_ Update to Claims Extract.msg (135 kB) Hi Madel, William Does the change apply to all claims? Does the field need to be immediately displayed or is it to be displayed starting on the go-live date? cc Devatha, Satish</t>
        </is>
      </c>
      <c r="G19" s="40" t="inlineStr"/>
      <c r="H19" s="39" t="inlineStr">
        <is>
          <t>Other</t>
        </is>
      </c>
      <c r="I19" s="39" t="inlineStr">
        <is>
          <t>Other</t>
        </is>
      </c>
      <c r="J19" s="39" t="inlineStr"/>
      <c r="K19" s="39" t="inlineStr">
        <is>
          <t>Open</t>
        </is>
      </c>
      <c r="L19" s="39" t="inlineStr">
        <is>
          <t>2026-04-28</t>
        </is>
      </c>
      <c r="M19" s="39" t="inlineStr">
        <is>
          <t>2026-04-29</t>
        </is>
      </c>
      <c r="N19" s="39" t="inlineStr">
        <is>
          <t>Nile Production Support</t>
        </is>
      </c>
      <c r="O19" s="39" t="inlineStr">
        <is>
          <t>Unassigned</t>
        </is>
      </c>
      <c r="P19" s="39" t="inlineStr">
        <is>
          <t>Madel, William</t>
        </is>
      </c>
      <c r="Q19" s="39" t="inlineStr">
        <is>
          <t>Unresolved</t>
        </is>
      </c>
      <c r="R19" s="40" t="inlineStr">
        <is>
          <t>RE_ Update to Claims Extract.msg (135 kB) Hi Madel, William Does the change apply to all claims? Does the field need to be immediately displayed or is it to be displayed starting on the go-live date? cc Devatha, Satish</t>
        </is>
      </c>
      <c r="S19" s="39" t="inlineStr"/>
      <c r="T19" s="39" t="inlineStr"/>
      <c r="U19" s="39" t="inlineStr"/>
      <c r="V19" s="49" t="inlineStr">
        <is>
          <t>File Issue</t>
        </is>
      </c>
      <c r="W19" s="39" t="inlineStr"/>
    </row>
    <row r="20">
      <c r="A20" s="42" t="inlineStr">
        <is>
          <t>IT-3018019</t>
        </is>
      </c>
      <c r="B20" s="42" t="inlineStr">
        <is>
          <t>IT-3018019</t>
        </is>
      </c>
      <c r="C20" s="42" t="inlineStr"/>
      <c r="D20" s="43" t="inlineStr">
        <is>
          <t>Optumcare RCCV Professional Prod Transition Documents</t>
        </is>
      </c>
      <c r="E20" s="43"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3" t="inlineStr"/>
      <c r="G20" s="43" t="inlineStr">
        <is>
          <t>Documents reviewed, Details reviewed and recorded and transition scheduled for today.</t>
        </is>
      </c>
      <c r="H20" s="42" t="inlineStr">
        <is>
          <t>Other</t>
        </is>
      </c>
      <c r="I20" s="42" t="inlineStr">
        <is>
          <t>Other</t>
        </is>
      </c>
      <c r="J20" s="42" t="inlineStr"/>
      <c r="K20" s="42" t="inlineStr">
        <is>
          <t>Closed</t>
        </is>
      </c>
      <c r="L20" s="42" t="inlineStr">
        <is>
          <t>2026-04-28</t>
        </is>
      </c>
      <c r="M20" s="42" t="inlineStr">
        <is>
          <t>2026-05-05</t>
        </is>
      </c>
      <c r="N20" s="42" t="inlineStr">
        <is>
          <t>Nile Production Support</t>
        </is>
      </c>
      <c r="O20" s="42" t="inlineStr">
        <is>
          <t>Unassigned</t>
        </is>
      </c>
      <c r="P20" s="42" t="inlineStr">
        <is>
          <t>Shaik, Parveena</t>
        </is>
      </c>
      <c r="Q20" s="42" t="inlineStr">
        <is>
          <t>Resolved</t>
        </is>
      </c>
      <c r="R20" s="43" t="inlineStr"/>
      <c r="S20" s="42" t="inlineStr"/>
      <c r="T20" s="42" t="inlineStr"/>
      <c r="U20" s="42" t="inlineStr"/>
      <c r="V20" s="50" t="inlineStr">
        <is>
          <t>Other</t>
        </is>
      </c>
      <c r="W20" s="42" t="inlineStr">
        <is>
          <t>Yes</t>
        </is>
      </c>
    </row>
    <row r="21">
      <c r="A21" s="39" t="inlineStr">
        <is>
          <t>IT-3017779</t>
        </is>
      </c>
      <c r="B21" s="39" t="inlineStr">
        <is>
          <t>IT-3017779</t>
        </is>
      </c>
      <c r="C21" s="39" t="inlineStr"/>
      <c r="D21" s="40" t="inlineStr">
        <is>
          <t>Wellmark 3ppmo file Investigation</t>
        </is>
      </c>
      <c r="E21" s="40" t="inlineStr">
        <is>
          <t>The client informed that 3PPMO response file was not received. Upon Initial investigation, we found that #PPMO file was not received. Need further investigation on this.</t>
        </is>
      </c>
      <c r="F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40" t="inlineStr">
        <is>
          <t>Files received and processed successfully.</t>
        </is>
      </c>
      <c r="H21" s="39" t="inlineStr">
        <is>
          <t>Other</t>
        </is>
      </c>
      <c r="I21" s="39" t="inlineStr">
        <is>
          <t>Other</t>
        </is>
      </c>
      <c r="J21" s="39" t="inlineStr"/>
      <c r="K21" s="39" t="inlineStr">
        <is>
          <t>Closed</t>
        </is>
      </c>
      <c r="L21" s="39" t="inlineStr">
        <is>
          <t>2026-04-28</t>
        </is>
      </c>
      <c r="M21" s="39" t="inlineStr">
        <is>
          <t>2026-05-04</t>
        </is>
      </c>
      <c r="N21" s="39" t="inlineStr">
        <is>
          <t>Nile Production Support</t>
        </is>
      </c>
      <c r="O21" s="39" t="inlineStr">
        <is>
          <t>Unassigned</t>
        </is>
      </c>
      <c r="P21" s="39" t="inlineStr">
        <is>
          <t>Bhattarai, Krishna</t>
        </is>
      </c>
      <c r="Q21" s="39" t="inlineStr">
        <is>
          <t>Resolved</t>
        </is>
      </c>
      <c r="R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9" t="inlineStr"/>
      <c r="T21" s="39" t="inlineStr"/>
      <c r="U21" s="39" t="inlineStr"/>
      <c r="V21" s="55" t="inlineStr">
        <is>
          <t>File Missing</t>
        </is>
      </c>
      <c r="W21" s="39" t="inlineStr"/>
    </row>
    <row r="22">
      <c r="A22" s="42" t="inlineStr">
        <is>
          <t>IT-3017677</t>
        </is>
      </c>
      <c r="B22" s="42" t="inlineStr">
        <is>
          <t>IT-3017677</t>
        </is>
      </c>
      <c r="C22" s="42" t="inlineStr"/>
      <c r="D22" s="43" t="inlineStr">
        <is>
          <t>dm-aetna-hrp-actian_migration_caqh got failed for 04/17</t>
        </is>
      </c>
      <c r="E22" s="43"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3" t="inlineStr">
        <is>
          <t>Seems source filename is not having any issue. It's restricted client and need to check the unzipped files. Please let US people know so they can resolve. copied, moved files. re-spooled. ran pipeline, failed.</t>
        </is>
      </c>
      <c r="G22" s="43" t="inlineStr"/>
      <c r="H22" s="42" t="inlineStr">
        <is>
          <t>Other</t>
        </is>
      </c>
      <c r="I22" s="42" t="inlineStr">
        <is>
          <t>Other</t>
        </is>
      </c>
      <c r="J22" s="42" t="inlineStr"/>
      <c r="K22" s="42" t="inlineStr">
        <is>
          <t>In Progress (HD1)</t>
        </is>
      </c>
      <c r="L22" s="42" t="inlineStr">
        <is>
          <t>2026-04-28</t>
        </is>
      </c>
      <c r="M22" s="42" t="inlineStr">
        <is>
          <t>2026-04-30</t>
        </is>
      </c>
      <c r="N22" s="42" t="inlineStr">
        <is>
          <t>Nile Production Support</t>
        </is>
      </c>
      <c r="O22" s="42" t="inlineStr">
        <is>
          <t>Unassigned</t>
        </is>
      </c>
      <c r="P22" s="42" t="inlineStr">
        <is>
          <t>Aryal, Neerajan</t>
        </is>
      </c>
      <c r="Q22" s="42" t="inlineStr">
        <is>
          <t>Unresolved</t>
        </is>
      </c>
      <c r="R22" s="43" t="inlineStr">
        <is>
          <t>Seems source filename is not having any issue. It's restricted client and need to check the unzipped files. Please let US people know so they can resolve. copied, moved files. re-spooled. ran pipeline, failed.</t>
        </is>
      </c>
      <c r="S22" s="42" t="inlineStr"/>
      <c r="T22" s="42" t="inlineStr"/>
      <c r="U22" s="42" t="inlineStr"/>
      <c r="V22" s="48" t="inlineStr">
        <is>
          <t>Pipeline Schedule</t>
        </is>
      </c>
      <c r="W22" s="42" t="inlineStr"/>
    </row>
    <row r="23">
      <c r="A23" s="39" t="inlineStr">
        <is>
          <t>IT-3017668</t>
        </is>
      </c>
      <c r="B23" s="39" t="inlineStr">
        <is>
          <t>IT-3017668</t>
        </is>
      </c>
      <c r="C23" s="39" t="inlineStr"/>
      <c r="D23" s="40" t="inlineStr">
        <is>
          <t>UHC PNICE Transition</t>
        </is>
      </c>
      <c r="E23" s="40" t="inlineStr">
        <is>
          <t>UHC PNICE Transition</t>
        </is>
      </c>
      <c r="F23" s="40" t="inlineStr"/>
      <c r="G23" s="40" t="inlineStr">
        <is>
          <t>Details recorded after reviewing the documents.</t>
        </is>
      </c>
      <c r="H23" s="39" t="inlineStr">
        <is>
          <t>Other</t>
        </is>
      </c>
      <c r="I23" s="39" t="inlineStr">
        <is>
          <t>Other</t>
        </is>
      </c>
      <c r="J23" s="39" t="inlineStr"/>
      <c r="K23" s="39" t="inlineStr">
        <is>
          <t>Closed</t>
        </is>
      </c>
      <c r="L23" s="39" t="inlineStr">
        <is>
          <t>2026-04-28</t>
        </is>
      </c>
      <c r="M23" s="39" t="inlineStr">
        <is>
          <t>2026-05-04</t>
        </is>
      </c>
      <c r="N23" s="39" t="inlineStr">
        <is>
          <t>Nile Production Support</t>
        </is>
      </c>
      <c r="O23" s="39" t="inlineStr">
        <is>
          <t>Unassigned</t>
        </is>
      </c>
      <c r="P23" s="39" t="inlineStr">
        <is>
          <t>Bobbiti, Jithendra</t>
        </is>
      </c>
      <c r="Q23" s="39" t="inlineStr">
        <is>
          <t>Resolved</t>
        </is>
      </c>
      <c r="R23" s="40" t="inlineStr"/>
      <c r="S23" s="39" t="inlineStr"/>
      <c r="T23" s="39" t="inlineStr"/>
      <c r="U23" s="39" t="inlineStr"/>
      <c r="V23" s="51" t="inlineStr">
        <is>
          <t>Other</t>
        </is>
      </c>
      <c r="W23" s="39" t="inlineStr">
        <is>
          <t>Yes</t>
        </is>
      </c>
    </row>
    <row r="24">
      <c r="A24" s="42" t="inlineStr">
        <is>
          <t>IT-3017655</t>
        </is>
      </c>
      <c r="B24" s="42" t="inlineStr">
        <is>
          <t>IT-3017655</t>
        </is>
      </c>
      <c r="C24" s="42" t="inlineStr"/>
      <c r="D24" s="43" t="inlineStr">
        <is>
          <t>Production Transition - Tufts-Diamond</t>
        </is>
      </c>
      <c r="E24" s="43" t="inlineStr">
        <is>
          <t>Production Transition - Tufts-Diamond RCCV 2 pipelines Inpatient &amp; Iphistory</t>
        </is>
      </c>
      <c r="F24" s="43" t="inlineStr">
        <is>
          <t>Waiting for the transition. also, the feedback fixes.</t>
        </is>
      </c>
      <c r="G24" s="43" t="inlineStr"/>
      <c r="H24" s="42" t="inlineStr">
        <is>
          <t>Other</t>
        </is>
      </c>
      <c r="I24" s="42" t="inlineStr">
        <is>
          <t>Other</t>
        </is>
      </c>
      <c r="J24" s="42" t="inlineStr"/>
      <c r="K24" s="42" t="inlineStr">
        <is>
          <t>On Hold</t>
        </is>
      </c>
      <c r="L24" s="42" t="inlineStr">
        <is>
          <t>2026-04-28</t>
        </is>
      </c>
      <c r="M24" s="42" t="inlineStr">
        <is>
          <t>2026-05-05</t>
        </is>
      </c>
      <c r="N24" s="42" t="inlineStr">
        <is>
          <t>Nile Production Support</t>
        </is>
      </c>
      <c r="O24" s="42" t="inlineStr">
        <is>
          <t>Unassigned</t>
        </is>
      </c>
      <c r="P24" s="42" t="inlineStr">
        <is>
          <t>Vutukuri, Praveen</t>
        </is>
      </c>
      <c r="Q24" s="42" t="inlineStr">
        <is>
          <t>Unresolved</t>
        </is>
      </c>
      <c r="R24" s="43" t="inlineStr">
        <is>
          <t>Waiting for the transition. also, the feedback fixes.</t>
        </is>
      </c>
      <c r="S24" s="42" t="inlineStr"/>
      <c r="T24" s="42" t="inlineStr"/>
      <c r="U24" s="42" t="inlineStr"/>
      <c r="V24" s="50" t="inlineStr">
        <is>
          <t>Other</t>
        </is>
      </c>
      <c r="W24" s="42" t="inlineStr">
        <is>
          <t>Yes</t>
        </is>
      </c>
    </row>
    <row r="25">
      <c r="A25" s="39" t="inlineStr">
        <is>
          <t>IT-3017640</t>
        </is>
      </c>
      <c r="B25" s="39" t="inlineStr">
        <is>
          <t>IT-3017640</t>
        </is>
      </c>
      <c r="C25" s="39" t="inlineStr"/>
      <c r="D25" s="40" t="inlineStr">
        <is>
          <t>Wellcare Pipelines got failed</t>
        </is>
      </c>
      <c r="E25" s="40"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40" t="inlineStr">
        <is>
          <t>We have rejected records for wellcare claim header file for 20260427. Checking with EDM team. Pipeline processed successfully.</t>
        </is>
      </c>
      <c r="G25" s="40" t="inlineStr">
        <is>
          <t>Pipeline processed successfully.</t>
        </is>
      </c>
      <c r="H25" s="39" t="inlineStr">
        <is>
          <t>Other</t>
        </is>
      </c>
      <c r="I25" s="39" t="inlineStr">
        <is>
          <t>Other</t>
        </is>
      </c>
      <c r="J25" s="39" t="inlineStr"/>
      <c r="K25" s="39" t="inlineStr">
        <is>
          <t>Closed</t>
        </is>
      </c>
      <c r="L25" s="39" t="inlineStr">
        <is>
          <t>2026-04-28</t>
        </is>
      </c>
      <c r="M25" s="39" t="inlineStr">
        <is>
          <t>2026-04-30</t>
        </is>
      </c>
      <c r="N25" s="39" t="inlineStr">
        <is>
          <t>Nile Production Support</t>
        </is>
      </c>
      <c r="O25" s="39" t="inlineStr">
        <is>
          <t>Unassigned</t>
        </is>
      </c>
      <c r="P25" s="39" t="inlineStr">
        <is>
          <t>Aryal, Neerajan</t>
        </is>
      </c>
      <c r="Q25" s="39" t="inlineStr">
        <is>
          <t>Resolved</t>
        </is>
      </c>
      <c r="R25" s="40" t="inlineStr">
        <is>
          <t>We have rejected records for wellcare claim header file for 20260427. Checking with EDM team. Pipeline processed successfully.</t>
        </is>
      </c>
      <c r="S25" s="39" t="inlineStr"/>
      <c r="T25" s="39" t="inlineStr"/>
      <c r="U25" s="39" t="inlineStr"/>
      <c r="V25" s="56" t="inlineStr">
        <is>
          <t>Unmatched raw data count</t>
        </is>
      </c>
      <c r="W25" s="39" t="inlineStr"/>
    </row>
    <row r="26">
      <c r="A26" s="42" t="inlineStr">
        <is>
          <t>IT-3017571</t>
        </is>
      </c>
      <c r="B26" s="42" t="inlineStr">
        <is>
          <t>IT-3017571</t>
        </is>
      </c>
      <c r="C26" s="42" t="inlineStr"/>
      <c r="D26" s="43" t="inlineStr">
        <is>
          <t>NAS Spoolers failed in production environment.</t>
        </is>
      </c>
      <c r="E26" s="43"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3" t="inlineStr">
        <is>
          <t>We have delivered the files on time. connected with pc team get the confirmation from the user.</t>
        </is>
      </c>
      <c r="H26" s="42" t="inlineStr">
        <is>
          <t>Other</t>
        </is>
      </c>
      <c r="I26" s="42" t="inlineStr">
        <is>
          <t>Other</t>
        </is>
      </c>
      <c r="J26" s="42" t="inlineStr"/>
      <c r="K26" s="42" t="inlineStr">
        <is>
          <t>Closed</t>
        </is>
      </c>
      <c r="L26" s="42" t="inlineStr">
        <is>
          <t>2026-04-28</t>
        </is>
      </c>
      <c r="M26" s="42" t="inlineStr">
        <is>
          <t>2026-04-29</t>
        </is>
      </c>
      <c r="N26" s="42" t="inlineStr">
        <is>
          <t>Nile Production Support</t>
        </is>
      </c>
      <c r="O26" s="42" t="inlineStr">
        <is>
          <t>Unassigned</t>
        </is>
      </c>
      <c r="P26" s="42" t="inlineStr">
        <is>
          <t>Kantimahanti, Ravisankar</t>
        </is>
      </c>
      <c r="Q26" s="42" t="inlineStr">
        <is>
          <t>Resolved</t>
        </is>
      </c>
      <c r="R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42" t="inlineStr"/>
      <c r="T26" s="42" t="inlineStr"/>
      <c r="U26" s="42" t="inlineStr"/>
      <c r="V26" s="57" t="inlineStr">
        <is>
          <t>Spooler issue</t>
        </is>
      </c>
      <c r="W26" s="42" t="inlineStr"/>
    </row>
    <row r="27">
      <c r="A27" s="39" t="inlineStr">
        <is>
          <t>IT-3017569</t>
        </is>
      </c>
      <c r="B27" s="39" t="inlineStr">
        <is>
          <t>IT-3017569</t>
        </is>
      </c>
      <c r="C27" s="39" t="inlineStr"/>
      <c r="D27" s="40" t="inlineStr">
        <is>
          <t>Nile NAS spooler failures</t>
        </is>
      </c>
      <c r="E27" s="40" t="inlineStr">
        <is>
          <t>Nile NAS spooler failures Effected clients: caloptima -tba geisinger -tba triples - qnxttricm Carefirst Aetna HRP</t>
        </is>
      </c>
      <c r="F27" s="40" t="inlineStr">
        <is>
          <t>Duplicate ticket created.</t>
        </is>
      </c>
      <c r="G27" s="40" t="inlineStr"/>
      <c r="H27" s="39" t="inlineStr">
        <is>
          <t>Other</t>
        </is>
      </c>
      <c r="I27" s="39" t="inlineStr">
        <is>
          <t>Other</t>
        </is>
      </c>
      <c r="J27" s="39" t="inlineStr"/>
      <c r="K27" s="39" t="inlineStr">
        <is>
          <t>Cancelled</t>
        </is>
      </c>
      <c r="L27" s="39" t="inlineStr">
        <is>
          <t>2026-04-28</t>
        </is>
      </c>
      <c r="M27" s="39" t="inlineStr">
        <is>
          <t>2026-04-29</t>
        </is>
      </c>
      <c r="N27" s="39" t="inlineStr">
        <is>
          <t>Nile Production Support</t>
        </is>
      </c>
      <c r="O27" s="39" t="inlineStr">
        <is>
          <t>Unassigned</t>
        </is>
      </c>
      <c r="P27" s="39" t="inlineStr">
        <is>
          <t>Kamsetty, Sravani</t>
        </is>
      </c>
      <c r="Q27" s="39" t="inlineStr">
        <is>
          <t>Cancelled</t>
        </is>
      </c>
      <c r="R27" s="40" t="inlineStr">
        <is>
          <t>Duplicate ticket created.</t>
        </is>
      </c>
      <c r="S27" s="39" t="inlineStr"/>
      <c r="T27" s="39" t="inlineStr"/>
      <c r="U27" s="39" t="inlineStr"/>
      <c r="V27" s="53" t="inlineStr">
        <is>
          <t>Spooler issue</t>
        </is>
      </c>
      <c r="W27" s="39" t="inlineStr"/>
    </row>
    <row r="28">
      <c r="A28" s="42" t="inlineStr">
        <is>
          <t>IT-3017529</t>
        </is>
      </c>
      <c r="B28" s="42" t="inlineStr">
        <is>
          <t>IT-3017529</t>
        </is>
      </c>
      <c r="C28" s="42" t="inlineStr"/>
      <c r="D28" s="43" t="inlineStr">
        <is>
          <t>Nile NAS spooler failures</t>
        </is>
      </c>
      <c r="E28" s="43" t="inlineStr">
        <is>
          <t>Nile NAS spooler failures Effected clients: caloptima -tba geisinger -tba triples - qnxttricm Carefirst Aetna HRP</t>
        </is>
      </c>
      <c r="F28" s="43" t="inlineStr">
        <is>
          <t>Nile NAS spoolers failed and Joined command center bridge call. Helped gathering the issue and ran the pipelines manually as a workaround until the issue is fixed.</t>
        </is>
      </c>
      <c r="G28" s="43" t="inlineStr">
        <is>
          <t>Nile NAS spoolers failed and Joined command center bridge call. Helped gathering the issue and ran the pipelines manually as a workaround until the issue is fixed.</t>
        </is>
      </c>
      <c r="H28" s="42" t="inlineStr">
        <is>
          <t>Other</t>
        </is>
      </c>
      <c r="I28" s="42" t="inlineStr">
        <is>
          <t>Other</t>
        </is>
      </c>
      <c r="J28" s="42" t="inlineStr"/>
      <c r="K28" s="42" t="inlineStr">
        <is>
          <t>Closed</t>
        </is>
      </c>
      <c r="L28" s="42" t="inlineStr">
        <is>
          <t>2026-04-28</t>
        </is>
      </c>
      <c r="M28" s="42" t="inlineStr">
        <is>
          <t>2026-04-28</t>
        </is>
      </c>
      <c r="N28" s="42" t="inlineStr">
        <is>
          <t>Nile Production Support</t>
        </is>
      </c>
      <c r="O28" s="42" t="inlineStr">
        <is>
          <t>Unassigned</t>
        </is>
      </c>
      <c r="P28" s="42" t="inlineStr">
        <is>
          <t>Kamsetty, Sravani</t>
        </is>
      </c>
      <c r="Q28" s="42" t="inlineStr">
        <is>
          <t>Resolved</t>
        </is>
      </c>
      <c r="R28" s="43" t="inlineStr">
        <is>
          <t>Nile NAS spoolers failed and Joined command center bridge call. Helped gathering the issue and ran the pipelines manually as a workaround until the issue is fixed.</t>
        </is>
      </c>
      <c r="S28" s="42" t="inlineStr"/>
      <c r="T28" s="42" t="inlineStr"/>
      <c r="U28" s="42" t="inlineStr"/>
      <c r="V28" s="57" t="inlineStr">
        <is>
          <t>Spooler issue</t>
        </is>
      </c>
      <c r="W28" s="42" t="inlineStr"/>
    </row>
    <row r="29">
      <c r="A29" s="39" t="inlineStr">
        <is>
          <t>IT-3017053</t>
        </is>
      </c>
      <c r="B29" s="39" t="inlineStr">
        <is>
          <t>IT-3017053</t>
        </is>
      </c>
      <c r="C29" s="39" t="inlineStr"/>
      <c r="D29" s="40" t="inlineStr">
        <is>
          <t>Request to add EDM's distro list to NILE's email notifications</t>
        </is>
      </c>
      <c r="E29" s="40" t="inlineStr">
        <is>
          <t>Hi Nile Prod Support team. Please add EDM’s distribution list to NILE’s ingestion report email notifications (see sample attached). EDM’s distribution list for each client is also attached.</t>
        </is>
      </c>
      <c r="F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40" t="inlineStr"/>
      <c r="H29" s="39" t="inlineStr">
        <is>
          <t>Other</t>
        </is>
      </c>
      <c r="I29" s="39" t="inlineStr">
        <is>
          <t>Other</t>
        </is>
      </c>
      <c r="J29" s="39" t="inlineStr"/>
      <c r="K29" s="39" t="inlineStr">
        <is>
          <t>On Hold</t>
        </is>
      </c>
      <c r="L29" s="39" t="inlineStr">
        <is>
          <t>2026-04-27</t>
        </is>
      </c>
      <c r="M29" s="39" t="inlineStr">
        <is>
          <t>2026-04-29</t>
        </is>
      </c>
      <c r="N29" s="39" t="inlineStr">
        <is>
          <t>Nile Production Support</t>
        </is>
      </c>
      <c r="O29" s="39" t="inlineStr">
        <is>
          <t>Unassigned</t>
        </is>
      </c>
      <c r="P29" s="39" t="inlineStr">
        <is>
          <t>Pacete, John</t>
        </is>
      </c>
      <c r="Q29" s="39" t="inlineStr">
        <is>
          <t>Unresolved</t>
        </is>
      </c>
      <c r="R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9" t="inlineStr"/>
      <c r="T29" s="39" t="inlineStr"/>
      <c r="U29" s="39" t="inlineStr"/>
      <c r="V29" s="51" t="inlineStr">
        <is>
          <t>Other</t>
        </is>
      </c>
      <c r="W29" s="39" t="inlineStr">
        <is>
          <t>Yes</t>
        </is>
      </c>
    </row>
    <row r="30">
      <c r="A30" s="42" t="inlineStr">
        <is>
          <t>IT-3016920</t>
        </is>
      </c>
      <c r="B30" s="42" t="inlineStr">
        <is>
          <t>IT-3016920</t>
        </is>
      </c>
      <c r="C30" s="42" t="inlineStr"/>
      <c r="D30" s="43" t="inlineStr">
        <is>
          <t>Copy files From Nile Prod Raw path to Nile QC Raw path - Aetna Trad</t>
        </is>
      </c>
      <c r="E30" s="43"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3" t="inlineStr">
        <is>
          <t>Files Copied</t>
        </is>
      </c>
      <c r="G30" s="43" t="inlineStr">
        <is>
          <t>Files Copied</t>
        </is>
      </c>
      <c r="H30" s="42" t="inlineStr">
        <is>
          <t>Other</t>
        </is>
      </c>
      <c r="I30" s="42" t="inlineStr">
        <is>
          <t>Other</t>
        </is>
      </c>
      <c r="J30" s="42" t="inlineStr"/>
      <c r="K30" s="42" t="inlineStr">
        <is>
          <t>Closed</t>
        </is>
      </c>
      <c r="L30" s="42" t="inlineStr">
        <is>
          <t>2026-04-27</t>
        </is>
      </c>
      <c r="M30" s="42" t="inlineStr">
        <is>
          <t>2026-04-27</t>
        </is>
      </c>
      <c r="N30" s="42" t="inlineStr">
        <is>
          <t>Nile Production Support</t>
        </is>
      </c>
      <c r="O30" s="42" t="inlineStr">
        <is>
          <t>Unassigned</t>
        </is>
      </c>
      <c r="P30" s="42" t="inlineStr">
        <is>
          <t>Shivalingu, Naveen</t>
        </is>
      </c>
      <c r="Q30" s="42" t="inlineStr">
        <is>
          <t>Resolved</t>
        </is>
      </c>
      <c r="R30" s="43" t="inlineStr">
        <is>
          <t>Files Copied</t>
        </is>
      </c>
      <c r="S30" s="42" t="inlineStr"/>
      <c r="T30" s="42" t="inlineStr"/>
      <c r="U30" s="42" t="inlineStr"/>
      <c r="V30" s="50" t="inlineStr">
        <is>
          <t>Other</t>
        </is>
      </c>
      <c r="W30" s="42" t="inlineStr">
        <is>
          <t>Yes</t>
        </is>
      </c>
    </row>
    <row r="31">
      <c r="A31" s="39" t="inlineStr">
        <is>
          <t>IT-3016913</t>
        </is>
      </c>
      <c r="B31" s="39" t="inlineStr">
        <is>
          <t>IT-3016913</t>
        </is>
      </c>
      <c r="C31" s="39" t="inlineStr"/>
      <c r="D31" s="40" t="inlineStr">
        <is>
          <t>Copy files From Nile Prod Raw path to Nile QC Raw path - Aetna Trad</t>
        </is>
      </c>
      <c r="E31" s="40"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40" t="inlineStr">
        <is>
          <t>Files are already copied</t>
        </is>
      </c>
      <c r="G31" s="40" t="inlineStr">
        <is>
          <t>Files are already copied</t>
        </is>
      </c>
      <c r="H31" s="39" t="inlineStr">
        <is>
          <t>Other</t>
        </is>
      </c>
      <c r="I31" s="39" t="inlineStr">
        <is>
          <t>Other</t>
        </is>
      </c>
      <c r="J31" s="39" t="inlineStr"/>
      <c r="K31" s="39" t="inlineStr">
        <is>
          <t>Closed</t>
        </is>
      </c>
      <c r="L31" s="39" t="inlineStr">
        <is>
          <t>2026-04-27</t>
        </is>
      </c>
      <c r="M31" s="39" t="inlineStr">
        <is>
          <t>2026-04-28</t>
        </is>
      </c>
      <c r="N31" s="39" t="inlineStr">
        <is>
          <t>Nile Production Support</t>
        </is>
      </c>
      <c r="O31" s="39" t="inlineStr">
        <is>
          <t>Unassigned</t>
        </is>
      </c>
      <c r="P31" s="39" t="inlineStr">
        <is>
          <t>Shivalingu, Naveen</t>
        </is>
      </c>
      <c r="Q31" s="39" t="inlineStr">
        <is>
          <t>Resolved</t>
        </is>
      </c>
      <c r="R31" s="40" t="inlineStr">
        <is>
          <t>Files are already copied</t>
        </is>
      </c>
      <c r="S31" s="39" t="inlineStr"/>
      <c r="T31" s="39" t="inlineStr"/>
      <c r="U31" s="39" t="inlineStr"/>
      <c r="V31" s="51" t="inlineStr">
        <is>
          <t>Other</t>
        </is>
      </c>
      <c r="W31" s="39" t="inlineStr">
        <is>
          <t>Yes</t>
        </is>
      </c>
    </row>
    <row r="32">
      <c r="A32" s="42" t="inlineStr">
        <is>
          <t>IT-3016384</t>
        </is>
      </c>
      <c r="B32" s="42" t="inlineStr">
        <is>
          <t>IT-3016384</t>
        </is>
      </c>
      <c r="C32" s="42" t="inlineStr"/>
      <c r="D32" s="43" t="inlineStr">
        <is>
          <t>Molina Raw Data Needed</t>
        </is>
      </c>
      <c r="E32" s="43"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3" t="inlineStr">
        <is>
          <t>Hi Arevalo, Anna Shared IA,KY,MC and UT raw files Thanks Satish Devatha</t>
        </is>
      </c>
      <c r="G32" s="43" t="inlineStr">
        <is>
          <t>Shared IA,KY,MC and UT raw files</t>
        </is>
      </c>
      <c r="H32" s="42" t="inlineStr">
        <is>
          <t>Other</t>
        </is>
      </c>
      <c r="I32" s="42" t="inlineStr">
        <is>
          <t>Other</t>
        </is>
      </c>
      <c r="J32" s="42" t="inlineStr"/>
      <c r="K32" s="42" t="inlineStr">
        <is>
          <t>Closed</t>
        </is>
      </c>
      <c r="L32" s="42" t="inlineStr">
        <is>
          <t>2026-04-27</t>
        </is>
      </c>
      <c r="M32" s="42" t="inlineStr">
        <is>
          <t>2026-04-29</t>
        </is>
      </c>
      <c r="N32" s="42" t="inlineStr">
        <is>
          <t>Nile Production Support</t>
        </is>
      </c>
      <c r="O32" s="42" t="inlineStr">
        <is>
          <t>Unassigned</t>
        </is>
      </c>
      <c r="P32" s="42" t="inlineStr">
        <is>
          <t>Arevalo, Anna</t>
        </is>
      </c>
      <c r="Q32" s="42" t="inlineStr">
        <is>
          <t>Resolved</t>
        </is>
      </c>
      <c r="R32" s="43" t="inlineStr">
        <is>
          <t>Hi Arevalo, Anna Shared IA,KY,MC and UT raw files Thanks Satish Devatha</t>
        </is>
      </c>
      <c r="S32" s="42" t="inlineStr"/>
      <c r="T32" s="42" t="inlineStr"/>
      <c r="U32" s="42" t="inlineStr"/>
      <c r="V32" s="52" t="inlineStr">
        <is>
          <t>Data Issue</t>
        </is>
      </c>
      <c r="W32" s="42" t="inlineStr"/>
    </row>
    <row r="33">
      <c r="A33" s="39" t="inlineStr">
        <is>
          <t>IT-3016136</t>
        </is>
      </c>
      <c r="B33" s="39" t="inlineStr">
        <is>
          <t>IT-3016136</t>
        </is>
      </c>
      <c r="C33" s="39" t="inlineStr"/>
      <c r="D33" s="40" t="inlineStr">
        <is>
          <t>Update spooler name</t>
        </is>
      </c>
      <c r="E33" s="40" t="inlineStr">
        <is>
          <t>Hi Team, Could you please update the spooler name in prod? Before : Wellcare-Wellcare_Actian_PBM_MTH_notouch New name : Wellcare-Wellcare_notouch Thank you!</t>
        </is>
      </c>
      <c r="F33" s="40" t="inlineStr">
        <is>
          <t>Hi Varghese, Shilpa Anna updated the spooler name Thanks</t>
        </is>
      </c>
      <c r="G33" s="40" t="inlineStr">
        <is>
          <t>Updated Spooler name</t>
        </is>
      </c>
      <c r="H33" s="39" t="inlineStr">
        <is>
          <t>Other</t>
        </is>
      </c>
      <c r="I33" s="39" t="inlineStr">
        <is>
          <t>Other</t>
        </is>
      </c>
      <c r="J33" s="39" t="inlineStr"/>
      <c r="K33" s="39" t="inlineStr">
        <is>
          <t>Closed</t>
        </is>
      </c>
      <c r="L33" s="39" t="inlineStr">
        <is>
          <t>2026-04-27</t>
        </is>
      </c>
      <c r="M33" s="39" t="inlineStr">
        <is>
          <t>2026-04-27</t>
        </is>
      </c>
      <c r="N33" s="39" t="inlineStr">
        <is>
          <t>Nile Production Support</t>
        </is>
      </c>
      <c r="O33" s="39" t="inlineStr">
        <is>
          <t>Unassigned</t>
        </is>
      </c>
      <c r="P33" s="39" t="inlineStr">
        <is>
          <t>Varghese, Shilpa Anna</t>
        </is>
      </c>
      <c r="Q33" s="39" t="inlineStr">
        <is>
          <t>Resolved</t>
        </is>
      </c>
      <c r="R33" s="40" t="inlineStr">
        <is>
          <t>Hi Varghese, Shilpa Anna updated the spooler name Thanks</t>
        </is>
      </c>
      <c r="S33" s="39" t="inlineStr"/>
      <c r="T33" s="39" t="inlineStr"/>
      <c r="U33" s="39" t="inlineStr"/>
      <c r="V33" s="53" t="inlineStr">
        <is>
          <t>Spooler issue</t>
        </is>
      </c>
      <c r="W33" s="39" t="inlineStr"/>
    </row>
    <row r="34">
      <c r="A34" s="42" t="inlineStr">
        <is>
          <t>IT-3016120</t>
        </is>
      </c>
      <c r="B34" s="42" t="inlineStr">
        <is>
          <t>IT-3016120</t>
        </is>
      </c>
      <c r="C34" s="42" t="inlineStr"/>
      <c r="D34" s="43" t="inlineStr">
        <is>
          <t>Move two Aetna Trad files to different folders</t>
        </is>
      </c>
      <c r="E34" s="43"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3" t="inlineStr">
        <is>
          <t>Hi Maguire, Patrick Files moved and updated permissions too please verify</t>
        </is>
      </c>
      <c r="G34" s="43" t="inlineStr">
        <is>
          <t>Files moved and updated permissions too</t>
        </is>
      </c>
      <c r="H34" s="42" t="inlineStr">
        <is>
          <t>Other</t>
        </is>
      </c>
      <c r="I34" s="42" t="inlineStr">
        <is>
          <t>Other</t>
        </is>
      </c>
      <c r="J34" s="42" t="inlineStr"/>
      <c r="K34" s="42" t="inlineStr">
        <is>
          <t>Closed</t>
        </is>
      </c>
      <c r="L34" s="42" t="inlineStr">
        <is>
          <t>2026-04-27</t>
        </is>
      </c>
      <c r="M34" s="42" t="inlineStr">
        <is>
          <t>2026-04-27</t>
        </is>
      </c>
      <c r="N34" s="42" t="inlineStr">
        <is>
          <t>Nile Production Support</t>
        </is>
      </c>
      <c r="O34" s="42" t="inlineStr">
        <is>
          <t>Unassigned</t>
        </is>
      </c>
      <c r="P34" s="42" t="inlineStr">
        <is>
          <t>Maguire, Patrick</t>
        </is>
      </c>
      <c r="Q34" s="42" t="inlineStr">
        <is>
          <t>Resolved</t>
        </is>
      </c>
      <c r="R34" s="43" t="inlineStr">
        <is>
          <t>Hi Maguire, Patrick Files moved and updated permissions too please verify</t>
        </is>
      </c>
      <c r="S34" s="42" t="inlineStr"/>
      <c r="T34" s="42" t="inlineStr"/>
      <c r="U34" s="42" t="inlineStr"/>
      <c r="V34" s="58" t="inlineStr">
        <is>
          <t>Issue Platform</t>
        </is>
      </c>
      <c r="W34" s="42" t="inlineStr"/>
    </row>
    <row r="35">
      <c r="A35" s="39" t="inlineStr">
        <is>
          <t>IT-3016008</t>
        </is>
      </c>
      <c r="B35" s="39" t="inlineStr">
        <is>
          <t>IT-3016008</t>
        </is>
      </c>
      <c r="C35" s="39" t="inlineStr"/>
      <c r="D35" s="40" t="inlineStr">
        <is>
          <t>Requesting information for Cigna Gross ID amount dataset</t>
        </is>
      </c>
      <c r="E35" s="40" t="inlineStr">
        <is>
          <t>We are looking to learn information on Cigna Gross ID amount dataset as it relates to if it is provided to Nile and if so how and where it can accessed.</t>
        </is>
      </c>
      <c r="F35" s="40" t="inlineStr"/>
      <c r="G35" s="40" t="inlineStr"/>
      <c r="H35" s="39" t="inlineStr">
        <is>
          <t>Other</t>
        </is>
      </c>
      <c r="I35" s="39" t="inlineStr">
        <is>
          <t>Other</t>
        </is>
      </c>
      <c r="J35" s="39" t="inlineStr"/>
      <c r="K35" s="39" t="inlineStr">
        <is>
          <t>In Progress (HD1)</t>
        </is>
      </c>
      <c r="L35" s="39" t="inlineStr">
        <is>
          <t>2026-04-27</t>
        </is>
      </c>
      <c r="M35" s="39" t="inlineStr">
        <is>
          <t>2026-04-28</t>
        </is>
      </c>
      <c r="N35" s="39" t="inlineStr">
        <is>
          <t>Nile Production Support</t>
        </is>
      </c>
      <c r="O35" s="39" t="inlineStr">
        <is>
          <t>Unassigned</t>
        </is>
      </c>
      <c r="P35" s="39" t="inlineStr">
        <is>
          <t>Hayes, Denzel</t>
        </is>
      </c>
      <c r="Q35" s="39" t="inlineStr">
        <is>
          <t>Unresolved</t>
        </is>
      </c>
      <c r="R35" s="40" t="inlineStr"/>
      <c r="S35" s="39" t="inlineStr"/>
      <c r="T35" s="39" t="inlineStr"/>
      <c r="U35" s="39" t="inlineStr"/>
      <c r="V35" s="51" t="inlineStr">
        <is>
          <t>Other</t>
        </is>
      </c>
      <c r="W35" s="39" t="inlineStr">
        <is>
          <t>Yes</t>
        </is>
      </c>
    </row>
    <row r="36">
      <c r="A36" s="42" t="inlineStr">
        <is>
          <t>IT-3015943</t>
        </is>
      </c>
      <c r="B36" s="42" t="inlineStr">
        <is>
          <t>IT-3015943</t>
        </is>
      </c>
      <c r="C36" s="42" t="inlineStr"/>
      <c r="D36" s="43" t="inlineStr">
        <is>
          <t>Weekly rccv-bsca-facets-ingest_history_institutional_claims_GDF2_12 got failed due to significant data drop for date 04/25.</t>
        </is>
      </c>
      <c r="E36" s="43"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3" t="inlineStr">
        <is>
          <t>Hi Kandel, Amik shared the counts with Paul and Rhona Waiting for response on replacement file Got confirmation to add parameter. Now pipeline is running now Hi Kandel, Amik Pipeline completed</t>
        </is>
      </c>
      <c r="G36" s="43" t="inlineStr">
        <is>
          <t>Pipeline completed</t>
        </is>
      </c>
      <c r="H36" s="42" t="inlineStr">
        <is>
          <t>Other</t>
        </is>
      </c>
      <c r="I36" s="42" t="inlineStr">
        <is>
          <t>Other</t>
        </is>
      </c>
      <c r="J36" s="42" t="inlineStr"/>
      <c r="K36" s="42" t="inlineStr">
        <is>
          <t>Closed</t>
        </is>
      </c>
      <c r="L36" s="42" t="inlineStr">
        <is>
          <t>2026-04-27</t>
        </is>
      </c>
      <c r="M36" s="42" t="inlineStr">
        <is>
          <t>2026-04-29</t>
        </is>
      </c>
      <c r="N36" s="42" t="inlineStr">
        <is>
          <t>Nile Production Support</t>
        </is>
      </c>
      <c r="O36" s="42" t="inlineStr">
        <is>
          <t>Unassigned</t>
        </is>
      </c>
      <c r="P36" s="42" t="inlineStr">
        <is>
          <t>Kandel, Amik</t>
        </is>
      </c>
      <c r="Q36" s="42" t="inlineStr">
        <is>
          <t>Resolved</t>
        </is>
      </c>
      <c r="R36" s="43" t="inlineStr">
        <is>
          <t>Hi Kandel, Amik shared the counts with Paul and Rhona Waiting for response on replacement file Got confirmation to add parameter. Now pipeline is running now Hi Kandel, Amik Pipeline completed</t>
        </is>
      </c>
      <c r="S36" s="42" t="inlineStr"/>
      <c r="T36" s="42" t="inlineStr"/>
      <c r="U36" s="42" t="inlineStr"/>
      <c r="V36" s="59" t="inlineStr">
        <is>
          <t>Metric drop</t>
        </is>
      </c>
      <c r="W36" s="42" t="inlineStr"/>
    </row>
    <row r="37">
      <c r="A37" s="39" t="inlineStr">
        <is>
          <t>IT-3015919</t>
        </is>
      </c>
      <c r="B37" s="39" t="inlineStr">
        <is>
          <t>IT-3015919</t>
        </is>
      </c>
      <c r="C37" s="39" t="inlineStr"/>
      <c r="D37" s="40" t="inlineStr">
        <is>
          <t>UHC Cosmos Layout update in file 'HCCC_CD_OUT_&lt;&gt;'</t>
        </is>
      </c>
      <c r="E37" s="40"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40" t="inlineStr">
        <is>
          <t>Dongol, Priya Pipeline dm-uhc-cosmos-actian_migration_HcccCd is now running for data date 2026/04 with updated UDC changes. Dongol, Priya pipeline has ran successfully. Closing ticket.</t>
        </is>
      </c>
      <c r="G37" s="40" t="inlineStr">
        <is>
          <t>Pipeline was updated and ran successfully.</t>
        </is>
      </c>
      <c r="H37" s="39" t="inlineStr">
        <is>
          <t>Other</t>
        </is>
      </c>
      <c r="I37" s="39" t="inlineStr">
        <is>
          <t>Other</t>
        </is>
      </c>
      <c r="J37" s="39" t="inlineStr"/>
      <c r="K37" s="39" t="inlineStr">
        <is>
          <t>Closed</t>
        </is>
      </c>
      <c r="L37" s="39" t="inlineStr">
        <is>
          <t>2026-04-27</t>
        </is>
      </c>
      <c r="M37" s="39" t="inlineStr">
        <is>
          <t>2026-04-27</t>
        </is>
      </c>
      <c r="N37" s="39" t="inlineStr">
        <is>
          <t>Nile Production Support</t>
        </is>
      </c>
      <c r="O37" s="39" t="inlineStr">
        <is>
          <t>Unassigned</t>
        </is>
      </c>
      <c r="P37" s="39" t="inlineStr">
        <is>
          <t>Dongol, Priya</t>
        </is>
      </c>
      <c r="Q37" s="39" t="inlineStr">
        <is>
          <t>Resolved</t>
        </is>
      </c>
      <c r="R37" s="40" t="inlineStr">
        <is>
          <t>Dongol, Priya Pipeline dm-uhc-cosmos-actian_migration_HcccCd is now running for data date 2026/04 with updated UDC changes. Dongol, Priya pipeline has ran successfully. Closing ticket.</t>
        </is>
      </c>
      <c r="S37" s="39" t="inlineStr"/>
      <c r="T37" s="39" t="inlineStr"/>
      <c r="U37" s="39" t="inlineStr"/>
      <c r="V37" s="41" t="inlineStr">
        <is>
          <t>Schema issue</t>
        </is>
      </c>
      <c r="W37" s="39" t="inlineStr"/>
    </row>
    <row r="38">
      <c r="A38" s="42" t="inlineStr">
        <is>
          <t>IT-3015767</t>
        </is>
      </c>
      <c r="B38" s="42" t="inlineStr">
        <is>
          <t>IT-3015767</t>
        </is>
      </c>
      <c r="C38" s="42" t="inlineStr"/>
      <c r="D38" s="43" t="inlineStr">
        <is>
          <t>UHC Cosmos/Unet - Layout Update in file ‘DISCOUNT_TYPE_CD_OUT_&lt;&gt;’</t>
        </is>
      </c>
      <c r="E38" s="43"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3" t="inlineStr">
        <is>
          <t>Pipeline was updated and ran successfully.</t>
        </is>
      </c>
      <c r="H38" s="42" t="inlineStr">
        <is>
          <t>Other</t>
        </is>
      </c>
      <c r="I38" s="42" t="inlineStr">
        <is>
          <t>Other</t>
        </is>
      </c>
      <c r="J38" s="42" t="inlineStr"/>
      <c r="K38" s="42" t="inlineStr">
        <is>
          <t>Closed</t>
        </is>
      </c>
      <c r="L38" s="42" t="inlineStr">
        <is>
          <t>2026-04-27</t>
        </is>
      </c>
      <c r="M38" s="42" t="inlineStr">
        <is>
          <t>2026-05-04</t>
        </is>
      </c>
      <c r="N38" s="42" t="inlineStr">
        <is>
          <t>Nile Production Support</t>
        </is>
      </c>
      <c r="O38" s="42" t="inlineStr">
        <is>
          <t>Unassigned</t>
        </is>
      </c>
      <c r="P38" s="42" t="inlineStr">
        <is>
          <t>Dongol, Priya</t>
        </is>
      </c>
      <c r="Q38" s="42" t="inlineStr">
        <is>
          <t>Resolved</t>
        </is>
      </c>
      <c r="R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42" t="inlineStr"/>
      <c r="T38" s="42" t="inlineStr"/>
      <c r="U38" s="42" t="inlineStr"/>
      <c r="V38" s="60" t="inlineStr">
        <is>
          <t>Schema issue</t>
        </is>
      </c>
      <c r="W38" s="42" t="inlineStr"/>
    </row>
    <row r="39">
      <c r="A39" s="39" t="inlineStr">
        <is>
          <t>IT-3015029</t>
        </is>
      </c>
      <c r="B39" s="39" t="inlineStr">
        <is>
          <t>IT-3015029</t>
        </is>
      </c>
      <c r="C39" s="39" t="inlineStr"/>
      <c r="D39" s="40" t="inlineStr">
        <is>
          <t>Removing unused spoolers with a retention period of ‘-1’ from the production environment.</t>
        </is>
      </c>
      <c r="E39" s="40"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40" t="inlineStr">
        <is>
          <t>Deleted date: 22-04-2026</t>
        </is>
      </c>
      <c r="G39" s="40" t="inlineStr">
        <is>
          <t>Removed the unused spoolers.</t>
        </is>
      </c>
      <c r="H39" s="39" t="inlineStr">
        <is>
          <t>Other</t>
        </is>
      </c>
      <c r="I39" s="39" t="inlineStr">
        <is>
          <t>Other</t>
        </is>
      </c>
      <c r="J39" s="39" t="inlineStr"/>
      <c r="K39" s="39" t="inlineStr">
        <is>
          <t>Closed</t>
        </is>
      </c>
      <c r="L39" s="39" t="inlineStr">
        <is>
          <t>2026-04-27</t>
        </is>
      </c>
      <c r="M39" s="39" t="inlineStr">
        <is>
          <t>2026-04-27</t>
        </is>
      </c>
      <c r="N39" s="39" t="inlineStr">
        <is>
          <t>Nile Production Support</t>
        </is>
      </c>
      <c r="O39" s="39" t="inlineStr">
        <is>
          <t>Unassigned</t>
        </is>
      </c>
      <c r="P39" s="39" t="inlineStr">
        <is>
          <t>Karakavalasa, SriVarshini</t>
        </is>
      </c>
      <c r="Q39" s="39" t="inlineStr">
        <is>
          <t>Resolved</t>
        </is>
      </c>
      <c r="R39" s="40" t="inlineStr">
        <is>
          <t>Deleted date: 22-04-2026</t>
        </is>
      </c>
      <c r="S39" s="39" t="inlineStr"/>
      <c r="T39" s="39" t="inlineStr"/>
      <c r="U39" s="39" t="inlineStr"/>
      <c r="V39" s="53" t="inlineStr">
        <is>
          <t>Spooler issue</t>
        </is>
      </c>
      <c r="W39" s="39" t="inlineStr"/>
    </row>
    <row r="40">
      <c r="A40" s="42" t="inlineStr">
        <is>
          <t>IT-3014397</t>
        </is>
      </c>
      <c r="B40" s="42" t="inlineStr">
        <is>
          <t>IT-3014397</t>
        </is>
      </c>
      <c r="C40" s="42" t="inlineStr"/>
      <c r="D40" s="43" t="inlineStr">
        <is>
          <t>Please help ingest 4/13's UHC Cirrus file</t>
        </is>
      </c>
      <c r="E40" s="43"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3" t="inlineStr">
        <is>
          <t>Hi Tang, Chao , Files spooled and processed from NILE under 20260420 ingestion date. Please check and confirm. Chao confirmed to close the ticket. Thanks.</t>
        </is>
      </c>
      <c r="G40" s="43" t="inlineStr">
        <is>
          <t>Files processed from NILE.</t>
        </is>
      </c>
      <c r="H40" s="42" t="inlineStr">
        <is>
          <t>Other</t>
        </is>
      </c>
      <c r="I40" s="42" t="inlineStr">
        <is>
          <t>Other</t>
        </is>
      </c>
      <c r="J40" s="42" t="inlineStr"/>
      <c r="K40" s="42" t="inlineStr">
        <is>
          <t>Closed</t>
        </is>
      </c>
      <c r="L40" s="42" t="inlineStr">
        <is>
          <t>2026-04-26</t>
        </is>
      </c>
      <c r="M40" s="42" t="inlineStr">
        <is>
          <t>2026-04-28</t>
        </is>
      </c>
      <c r="N40" s="42" t="inlineStr">
        <is>
          <t>Nile Production Support</t>
        </is>
      </c>
      <c r="O40" s="42" t="inlineStr">
        <is>
          <t>Unassigned</t>
        </is>
      </c>
      <c r="P40" s="42" t="inlineStr">
        <is>
          <t>Tang, Chao</t>
        </is>
      </c>
      <c r="Q40" s="42" t="inlineStr">
        <is>
          <t>Resolved</t>
        </is>
      </c>
      <c r="R40" s="43" t="inlineStr">
        <is>
          <t>Hi Tang, Chao , Files spooled and processed from NILE under 20260420 ingestion date. Please check and confirm. Chao confirmed to close the ticket. Thanks.</t>
        </is>
      </c>
      <c r="S40" s="42" t="inlineStr"/>
      <c r="T40" s="42" t="inlineStr"/>
      <c r="U40" s="42" t="inlineStr"/>
      <c r="V40" s="57" t="inlineStr">
        <is>
          <t>Spooler issue</t>
        </is>
      </c>
      <c r="W40" s="42" t="inlineStr"/>
    </row>
    <row r="41">
      <c r="A41" s="39" t="inlineStr">
        <is>
          <t>IT-3014330</t>
        </is>
      </c>
      <c r="B41" s="39" t="inlineStr">
        <is>
          <t>IT-3014330</t>
        </is>
      </c>
      <c r="C41" s="39" t="inlineStr"/>
      <c r="D41" s="40" t="inlineStr">
        <is>
          <t>Excellus Business Segments</t>
        </is>
      </c>
      <c r="E41" s="40" t="inlineStr">
        <is>
          <t>The mapping has not been implemented as expected, Claim cdf1 is still blank in files loaded on April 20 Please update mapping as requested in previous ticket</t>
        </is>
      </c>
      <c r="F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40" t="inlineStr">
        <is>
          <t>Received confirmation from the user.</t>
        </is>
      </c>
      <c r="H41" s="39" t="inlineStr">
        <is>
          <t>COM</t>
        </is>
      </c>
      <c r="I41" s="39" t="inlineStr">
        <is>
          <t>Other Support</t>
        </is>
      </c>
      <c r="J41" s="39" t="inlineStr"/>
      <c r="K41" s="39" t="inlineStr">
        <is>
          <t>Closed</t>
        </is>
      </c>
      <c r="L41" s="39" t="inlineStr">
        <is>
          <t>2026-04-26</t>
        </is>
      </c>
      <c r="M41" s="39" t="inlineStr">
        <is>
          <t>2026-05-04</t>
        </is>
      </c>
      <c r="N41" s="39" t="inlineStr">
        <is>
          <t>Nile Production Support</t>
        </is>
      </c>
      <c r="O41" s="39" t="inlineStr">
        <is>
          <t>Unassigned</t>
        </is>
      </c>
      <c r="P41" s="39" t="inlineStr">
        <is>
          <t>Varughese, Neena</t>
        </is>
      </c>
      <c r="Q41" s="39" t="inlineStr">
        <is>
          <t>Resolved</t>
        </is>
      </c>
      <c r="R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9" t="inlineStr"/>
      <c r="T41" s="39" t="inlineStr"/>
      <c r="U41" s="39" t="inlineStr"/>
      <c r="V41" s="45" t="inlineStr">
        <is>
          <t>Configuration Issue</t>
        </is>
      </c>
      <c r="W41" s="39" t="inlineStr"/>
    </row>
    <row r="42">
      <c r="A42" s="42" t="inlineStr">
        <is>
          <t>IT-3013659</t>
        </is>
      </c>
      <c r="B42" s="42" t="inlineStr">
        <is>
          <t>IT-3013659</t>
        </is>
      </c>
      <c r="C42" s="42" t="inlineStr"/>
      <c r="D42" s="43" t="inlineStr">
        <is>
          <t>PREBC - TBA PROF &amp; INST files missing - 04/24/2026 &amp; 04/25/2026</t>
        </is>
      </c>
      <c r="E42" s="43" t="inlineStr">
        <is>
          <t>Hi Nile Team, We are missing below files for 04/24/2026 &amp; 04/25/2026. Please check and let us know when we can expect the missing files. prebc_daily_incoming_2 prebc_outpatient_incoming_2</t>
        </is>
      </c>
      <c r="F42" s="43" t="inlineStr">
        <is>
          <t>we successfully processed the 24th and 25th data date files. attached screenshot for reference we successfully processed the 24th and 25th data date files. attached screenshot for reference.</t>
        </is>
      </c>
      <c r="G42" s="43" t="inlineStr">
        <is>
          <t>we successfully processed the 24th and 25th data date files. attached screenshot for reference.</t>
        </is>
      </c>
      <c r="H42" s="42" t="inlineStr"/>
      <c r="I42" s="42" t="inlineStr"/>
      <c r="J42" s="42" t="inlineStr"/>
      <c r="K42" s="42" t="inlineStr">
        <is>
          <t>Closed</t>
        </is>
      </c>
      <c r="L42" s="42" t="inlineStr">
        <is>
          <t>2026-04-25</t>
        </is>
      </c>
      <c r="M42" s="42" t="inlineStr">
        <is>
          <t>2026-04-28</t>
        </is>
      </c>
      <c r="N42" s="42" t="inlineStr">
        <is>
          <t>Nile Production Support</t>
        </is>
      </c>
      <c r="O42" s="42" t="inlineStr">
        <is>
          <t>Unassigned</t>
        </is>
      </c>
      <c r="P42" s="42" t="inlineStr">
        <is>
          <t>Gudala, Kumaraswamy</t>
        </is>
      </c>
      <c r="Q42" s="42" t="inlineStr">
        <is>
          <t>Closed</t>
        </is>
      </c>
      <c r="R42" s="43" t="inlineStr">
        <is>
          <t>we successfully processed the 24th and 25th data date files. attached screenshot for reference we successfully processed the 24th and 25th data date files. attached screenshot for reference.</t>
        </is>
      </c>
      <c r="S42" s="42" t="inlineStr"/>
      <c r="T42" s="42" t="inlineStr"/>
      <c r="U42" s="42" t="inlineStr"/>
      <c r="V42" s="44" t="inlineStr">
        <is>
          <t>File Missing</t>
        </is>
      </c>
      <c r="W42" s="42" t="inlineStr"/>
    </row>
    <row r="43">
      <c r="A43" s="39" t="inlineStr">
        <is>
          <t>IT-3012722</t>
        </is>
      </c>
      <c r="B43" s="39" t="inlineStr">
        <is>
          <t>IT-3012722</t>
        </is>
      </c>
      <c r="C43" s="39" t="inlineStr"/>
      <c r="D43" s="40" t="inlineStr">
        <is>
          <t>rccv-cignamedicare-facets-tba_institutional_claims_custom_GDF2_5_CDF2_5 for May 2025 ingestion..</t>
        </is>
      </c>
      <c r="E43" s="40"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40" t="inlineStr">
        <is>
          <t>Hi Suryani, Melly Thanks for running latest version v1.9 pipeline Thanks Satish Devatha</t>
        </is>
      </c>
      <c r="G43" s="40" t="inlineStr"/>
      <c r="H43" s="39" t="inlineStr">
        <is>
          <t>Other</t>
        </is>
      </c>
      <c r="I43" s="39" t="inlineStr">
        <is>
          <t>Other</t>
        </is>
      </c>
      <c r="J43" s="39" t="inlineStr"/>
      <c r="K43" s="39" t="inlineStr">
        <is>
          <t>In Progress (HD1)</t>
        </is>
      </c>
      <c r="L43" s="39" t="inlineStr">
        <is>
          <t>2026-04-24</t>
        </is>
      </c>
      <c r="M43" s="39" t="inlineStr">
        <is>
          <t>2026-05-07</t>
        </is>
      </c>
      <c r="N43" s="39" t="inlineStr">
        <is>
          <t>Nile Production Support</t>
        </is>
      </c>
      <c r="O43" s="39" t="inlineStr">
        <is>
          <t>Unassigned</t>
        </is>
      </c>
      <c r="P43" s="39" t="inlineStr">
        <is>
          <t>Suryani, Melly</t>
        </is>
      </c>
      <c r="Q43" s="39" t="inlineStr">
        <is>
          <t>Unresolved</t>
        </is>
      </c>
      <c r="R43" s="40" t="inlineStr">
        <is>
          <t>Hi Suryani, Melly Thanks for running latest version v1.9 pipeline Thanks Satish Devatha</t>
        </is>
      </c>
      <c r="S43" s="39" t="inlineStr"/>
      <c r="T43" s="39" t="inlineStr"/>
      <c r="U43" s="39" t="inlineStr"/>
      <c r="V43" s="51" t="inlineStr">
        <is>
          <t>Other</t>
        </is>
      </c>
      <c r="W43" s="39" t="inlineStr">
        <is>
          <t>Yes</t>
        </is>
      </c>
    </row>
    <row r="44">
      <c r="A44" s="42" t="inlineStr">
        <is>
          <t>IT-3012689</t>
        </is>
      </c>
      <c r="B44" s="42" t="inlineStr">
        <is>
          <t>IT-3012689</t>
        </is>
      </c>
      <c r="C44" s="42" t="inlineStr"/>
      <c r="D44" s="43" t="inlineStr">
        <is>
          <t>Please ingest a supplemental file for BCBS_TN Member data.</t>
        </is>
      </c>
      <c r="E44" s="43" t="inlineStr">
        <is>
          <t>Please ingest a catchup file for BCBS_TN Member data, based on an existing pipeline: Existing Pipeline: dm-bcbstn-bcbstn-actian_migration_member Source File: MEMBER_AUG2025-MAR2026_GBQ_20260422.tab Target Table: BCBS_TNDataRaw.dbo.Member_Load_Monthly_Catchup</t>
        </is>
      </c>
      <c r="F44" s="43" t="inlineStr"/>
      <c r="G44" s="43" t="inlineStr">
        <is>
          <t>Completed ingestion to adhoc table as requested</t>
        </is>
      </c>
      <c r="H44" s="42" t="inlineStr">
        <is>
          <t>Other</t>
        </is>
      </c>
      <c r="I44" s="42" t="inlineStr">
        <is>
          <t>Other</t>
        </is>
      </c>
      <c r="J44" s="42" t="inlineStr"/>
      <c r="K44" s="42" t="inlineStr">
        <is>
          <t>Closed</t>
        </is>
      </c>
      <c r="L44" s="42" t="inlineStr">
        <is>
          <t>2026-04-24</t>
        </is>
      </c>
      <c r="M44" s="42" t="inlineStr">
        <is>
          <t>2026-04-27</t>
        </is>
      </c>
      <c r="N44" s="42" t="inlineStr">
        <is>
          <t>Nile Production Support</t>
        </is>
      </c>
      <c r="O44" s="42" t="inlineStr">
        <is>
          <t>Unassigned</t>
        </is>
      </c>
      <c r="P44" s="42" t="inlineStr">
        <is>
          <t>Castro, Ronald</t>
        </is>
      </c>
      <c r="Q44" s="42" t="inlineStr">
        <is>
          <t>Resolved</t>
        </is>
      </c>
      <c r="R44" s="43" t="inlineStr"/>
      <c r="S44" s="42" t="inlineStr"/>
      <c r="T44" s="42" t="inlineStr"/>
      <c r="U44" s="42" t="inlineStr"/>
      <c r="V44" s="46" t="inlineStr">
        <is>
          <t>File Issue</t>
        </is>
      </c>
      <c r="W44" s="42" t="inlineStr"/>
    </row>
    <row r="45">
      <c r="A45" s="39" t="inlineStr">
        <is>
          <t>IT-3012305</t>
        </is>
      </c>
      <c r="B45" s="39" t="inlineStr">
        <is>
          <t>IT-3012305</t>
        </is>
      </c>
      <c r="C45" s="39" t="inlineStr"/>
      <c r="D45" s="40" t="inlineStr">
        <is>
          <t>Schedule Wellcare pipelines for weekly data load files to run at 4PM ET every Monday.</t>
        </is>
      </c>
      <c r="E45" s="40"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40" t="inlineStr"/>
      <c r="G45" s="40" t="inlineStr">
        <is>
          <t>Monitored for the latest run and the pipelines got triggered.</t>
        </is>
      </c>
      <c r="H45" s="39" t="inlineStr">
        <is>
          <t>Other</t>
        </is>
      </c>
      <c r="I45" s="39" t="inlineStr">
        <is>
          <t>Other</t>
        </is>
      </c>
      <c r="J45" s="39" t="inlineStr"/>
      <c r="K45" s="39" t="inlineStr">
        <is>
          <t>Closed</t>
        </is>
      </c>
      <c r="L45" s="39" t="inlineStr">
        <is>
          <t>2026-04-24</t>
        </is>
      </c>
      <c r="M45" s="39" t="inlineStr">
        <is>
          <t>2026-05-06</t>
        </is>
      </c>
      <c r="N45" s="39" t="inlineStr">
        <is>
          <t>Nile Production Support</t>
        </is>
      </c>
      <c r="O45" s="39" t="inlineStr">
        <is>
          <t>Unassigned</t>
        </is>
      </c>
      <c r="P45" s="39" t="inlineStr">
        <is>
          <t>Trivedi Shukla, Zarna</t>
        </is>
      </c>
      <c r="Q45" s="39" t="inlineStr">
        <is>
          <t>Resolved</t>
        </is>
      </c>
      <c r="R45" s="40" t="inlineStr"/>
      <c r="S45" s="39" t="inlineStr"/>
      <c r="T45" s="39" t="inlineStr"/>
      <c r="U45" s="39" t="inlineStr"/>
      <c r="V45" s="61" t="inlineStr">
        <is>
          <t>Pipeline Schedule</t>
        </is>
      </c>
      <c r="W45" s="39" t="inlineStr"/>
    </row>
    <row r="46">
      <c r="A46" s="42" t="inlineStr">
        <is>
          <t>IT-3011925</t>
        </is>
      </c>
      <c r="B46" s="42" t="inlineStr">
        <is>
          <t>IT-3011925</t>
        </is>
      </c>
      <c r="C46" s="42" t="inlineStr"/>
      <c r="D46" s="43" t="inlineStr">
        <is>
          <t>BCSAL and BCPAL files not seen in CAT for production of the audit selection report</t>
        </is>
      </c>
      <c r="E46" s="43" t="inlineStr">
        <is>
          <t>Payer short BCSAL and BCPAL files were received by the client (RCA file) and ready for production on 4/7, however the files are still not visible in the CAT tool for the selections team to create the audit selection report. Not sure where the files are.</t>
        </is>
      </c>
      <c r="F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3" t="inlineStr"/>
      <c r="H46" s="42" t="inlineStr">
        <is>
          <t>Other</t>
        </is>
      </c>
      <c r="I46" s="42" t="inlineStr">
        <is>
          <t>Other</t>
        </is>
      </c>
      <c r="J46" s="42" t="inlineStr"/>
      <c r="K46" s="42" t="inlineStr">
        <is>
          <t>On Hold</t>
        </is>
      </c>
      <c r="L46" s="42" t="inlineStr">
        <is>
          <t>2026-04-24</t>
        </is>
      </c>
      <c r="M46" s="42" t="inlineStr">
        <is>
          <t>2026-05-06</t>
        </is>
      </c>
      <c r="N46" s="42" t="inlineStr">
        <is>
          <t>Nile Production Support</t>
        </is>
      </c>
      <c r="O46" s="42" t="inlineStr">
        <is>
          <t>Unassigned</t>
        </is>
      </c>
      <c r="P46" s="42" t="inlineStr">
        <is>
          <t>Cashen, Judy</t>
        </is>
      </c>
      <c r="Q46" s="42" t="inlineStr">
        <is>
          <t>Unresolved</t>
        </is>
      </c>
      <c r="R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42" t="inlineStr"/>
      <c r="T46" s="42" t="inlineStr"/>
      <c r="U46" s="42" t="inlineStr"/>
      <c r="V46" s="44" t="inlineStr">
        <is>
          <t>File Missing</t>
        </is>
      </c>
      <c r="W46" s="42" t="inlineStr"/>
    </row>
    <row r="47">
      <c r="A47" s="39" t="inlineStr">
        <is>
          <t>IT-3011918</t>
        </is>
      </c>
      <c r="B47" s="39" t="inlineStr">
        <is>
          <t>IT-3011918</t>
        </is>
      </c>
      <c r="C47" s="39" t="inlineStr"/>
      <c r="D47" s="40" t="inlineStr">
        <is>
          <t>BCSAL and BCPAL files not seen in CAT for production of the audit selection report</t>
        </is>
      </c>
      <c r="E47" s="40" t="inlineStr">
        <is>
          <t>Hi, for payer shorts BCSAL and BCPA the files were received by RCA and ready for production on 4/7, however they are not showing in the CAT tool for the selections team to produce the audit selection report. Need to know where the files are.</t>
        </is>
      </c>
      <c r="F47" s="40" t="inlineStr">
        <is>
          <t>moving to Nile per engineer not for CRS Support This is not with Nile - I'm not sure yet how we should proceed.</t>
        </is>
      </c>
      <c r="G47" s="40" t="inlineStr"/>
      <c r="H47" s="39" t="inlineStr">
        <is>
          <t>ICMS</t>
        </is>
      </c>
      <c r="I47" s="39" t="inlineStr">
        <is>
          <t>Other</t>
        </is>
      </c>
      <c r="J47" s="39" t="inlineStr"/>
      <c r="K47" s="39" t="inlineStr">
        <is>
          <t>On Hold</t>
        </is>
      </c>
      <c r="L47" s="39" t="inlineStr">
        <is>
          <t>2026-04-24</t>
        </is>
      </c>
      <c r="M47" s="39" t="inlineStr">
        <is>
          <t>2026-05-06</t>
        </is>
      </c>
      <c r="N47" s="39" t="inlineStr">
        <is>
          <t>Nile Production Support</t>
        </is>
      </c>
      <c r="O47" s="39" t="inlineStr">
        <is>
          <t>Unassigned</t>
        </is>
      </c>
      <c r="P47" s="39" t="inlineStr">
        <is>
          <t>Cashen, Judy</t>
        </is>
      </c>
      <c r="Q47" s="39" t="inlineStr">
        <is>
          <t>Unresolved</t>
        </is>
      </c>
      <c r="R47" s="40" t="inlineStr">
        <is>
          <t>moving to Nile per engineer not for CRS Support This is not with Nile - I'm not sure yet how we should proceed.</t>
        </is>
      </c>
      <c r="S47" s="39" t="inlineStr"/>
      <c r="T47" s="39" t="inlineStr"/>
      <c r="U47" s="39" t="inlineStr"/>
      <c r="V47" s="55" t="inlineStr">
        <is>
          <t>File Missing</t>
        </is>
      </c>
      <c r="W47" s="39" t="inlineStr"/>
    </row>
    <row r="48">
      <c r="A48" s="42" t="inlineStr">
        <is>
          <t>IT-3011677</t>
        </is>
      </c>
      <c r="B48" s="42" t="inlineStr">
        <is>
          <t>IT-3011677</t>
        </is>
      </c>
      <c r="C48" s="42" t="inlineStr"/>
      <c r="D48" s="43" t="inlineStr">
        <is>
          <t>Please confirm if RCA Engineering is receiving and ingesting the SIU Weekly Provider Report Geisinger sends us via SFTP that is an exclusion file for our teams.</t>
        </is>
      </c>
      <c r="E48" s="43"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3" t="inlineStr">
        <is>
          <t>Provided the requestor's analysis in the comments which included comparing 4 SFTP files against files received from email</t>
        </is>
      </c>
      <c r="H48" s="42" t="inlineStr">
        <is>
          <t>Other</t>
        </is>
      </c>
      <c r="I48" s="42" t="inlineStr">
        <is>
          <t>Other</t>
        </is>
      </c>
      <c r="J48" s="42" t="inlineStr"/>
      <c r="K48" s="42" t="inlineStr">
        <is>
          <t>Closed</t>
        </is>
      </c>
      <c r="L48" s="42" t="inlineStr">
        <is>
          <t>2026-04-24</t>
        </is>
      </c>
      <c r="M48" s="42" t="inlineStr">
        <is>
          <t>2026-05-01</t>
        </is>
      </c>
      <c r="N48" s="42" t="inlineStr">
        <is>
          <t>Nile Production Support</t>
        </is>
      </c>
      <c r="O48" s="42" t="inlineStr">
        <is>
          <t>Unassigned</t>
        </is>
      </c>
      <c r="P48" s="42" t="inlineStr">
        <is>
          <t>Depolo, Kara</t>
        </is>
      </c>
      <c r="Q48" s="42" t="inlineStr">
        <is>
          <t>Resolved</t>
        </is>
      </c>
      <c r="R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42" t="inlineStr"/>
      <c r="T48" s="42" t="inlineStr"/>
      <c r="U48" s="42" t="inlineStr"/>
      <c r="V48" s="50" t="inlineStr">
        <is>
          <t>Other</t>
        </is>
      </c>
      <c r="W48" s="42" t="inlineStr">
        <is>
          <t>Yes</t>
        </is>
      </c>
    </row>
    <row r="49">
      <c r="A49" s="39" t="inlineStr">
        <is>
          <t>IT-3011541</t>
        </is>
      </c>
      <c r="B49" s="39" t="inlineStr">
        <is>
          <t>IT-3011541</t>
        </is>
      </c>
      <c r="C49" s="39" t="inlineStr"/>
      <c r="D49" s="40" t="inlineStr">
        <is>
          <t>Please help ingest 4/13's UHC Cirrus file</t>
        </is>
      </c>
      <c r="E49" s="40"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40" t="inlineStr">
        <is>
          <t>4/13 ingestion is complete. closing out ticket</t>
        </is>
      </c>
      <c r="G49" s="40" t="inlineStr">
        <is>
          <t>4/13 ingestion is complete. closing out ticket</t>
        </is>
      </c>
      <c r="H49" s="39" t="inlineStr">
        <is>
          <t>Other</t>
        </is>
      </c>
      <c r="I49" s="39" t="inlineStr">
        <is>
          <t>Other</t>
        </is>
      </c>
      <c r="J49" s="39" t="inlineStr"/>
      <c r="K49" s="39" t="inlineStr">
        <is>
          <t>Closed</t>
        </is>
      </c>
      <c r="L49" s="39" t="inlineStr">
        <is>
          <t>2026-04-24</t>
        </is>
      </c>
      <c r="M49" s="39" t="inlineStr">
        <is>
          <t>2026-04-24</t>
        </is>
      </c>
      <c r="N49" s="39" t="inlineStr">
        <is>
          <t>Nile Production Support</t>
        </is>
      </c>
      <c r="O49" s="39" t="inlineStr">
        <is>
          <t>Unassigned</t>
        </is>
      </c>
      <c r="P49" s="39" t="inlineStr">
        <is>
          <t>Tang, Chao</t>
        </is>
      </c>
      <c r="Q49" s="39" t="inlineStr">
        <is>
          <t>Resolved</t>
        </is>
      </c>
      <c r="R49" s="40" t="inlineStr">
        <is>
          <t>4/13 ingestion is complete. closing out ticket</t>
        </is>
      </c>
      <c r="S49" s="39" t="inlineStr"/>
      <c r="T49" s="39" t="inlineStr"/>
      <c r="U49" s="39" t="inlineStr"/>
      <c r="V49" s="53" t="inlineStr">
        <is>
          <t>Spooler issue</t>
        </is>
      </c>
      <c r="W49" s="39" t="inlineStr"/>
    </row>
    <row r="50">
      <c r="A50" s="42" t="inlineStr">
        <is>
          <t>IT-3011476</t>
        </is>
      </c>
      <c r="B50" s="42" t="inlineStr">
        <is>
          <t>IT-3011476</t>
        </is>
      </c>
      <c r="C50" s="42" t="inlineStr"/>
      <c r="D50" s="43" t="inlineStr">
        <is>
          <t>Unmatched gdf_member_enrollment raw data count - 20260422_1 - prod - fwa-BCBSND-OSCAR_member_GDF2_3</t>
        </is>
      </c>
      <c r="E50" s="43" t="inlineStr">
        <is>
          <t>Pipeline fwa-BCBSND-OSCAR_member_GDF2_3 has failed due to unmatched records. Email Ref: Unmatched gdf_member_enrollment raw data count - 20260422_1 - prod - fwa-BCBSND-OSCAR_member_GDF2_3 Please investigate.</t>
        </is>
      </c>
      <c r="F50" s="43" t="inlineStr">
        <is>
          <t>Due to rejected records. So added override and running the pipeline Not Sure why pipeline is in Draft mode can we publish and schedule the pipeline?? pipeline completed</t>
        </is>
      </c>
      <c r="G50" s="43" t="inlineStr">
        <is>
          <t>pipeline completed</t>
        </is>
      </c>
      <c r="H50" s="42" t="inlineStr">
        <is>
          <t>Other</t>
        </is>
      </c>
      <c r="I50" s="42" t="inlineStr">
        <is>
          <t>Other</t>
        </is>
      </c>
      <c r="J50" s="42" t="inlineStr"/>
      <c r="K50" s="42" t="inlineStr">
        <is>
          <t>Closed</t>
        </is>
      </c>
      <c r="L50" s="42" t="inlineStr">
        <is>
          <t>2026-04-24</t>
        </is>
      </c>
      <c r="M50" s="42" t="inlineStr">
        <is>
          <t>2026-04-24</t>
        </is>
      </c>
      <c r="N50" s="42" t="inlineStr">
        <is>
          <t>Nile Production Support</t>
        </is>
      </c>
      <c r="O50" s="42" t="inlineStr">
        <is>
          <t>Unassigned</t>
        </is>
      </c>
      <c r="P50" s="42" t="inlineStr">
        <is>
          <t>Acharya, Suraj</t>
        </is>
      </c>
      <c r="Q50" s="42" t="inlineStr">
        <is>
          <t>Resolved</t>
        </is>
      </c>
      <c r="R50" s="43" t="inlineStr">
        <is>
          <t>Due to rejected records. So added override and running the pipeline Not Sure why pipeline is in Draft mode can we publish and schedule the pipeline?? pipeline completed</t>
        </is>
      </c>
      <c r="S50" s="42" t="inlineStr"/>
      <c r="T50" s="42" t="inlineStr"/>
      <c r="U50" s="42" t="inlineStr"/>
      <c r="V50" s="52" t="inlineStr">
        <is>
          <t>Data Issue</t>
        </is>
      </c>
      <c r="W50" s="42" t="inlineStr"/>
    </row>
    <row r="51">
      <c r="A51" s="39" t="inlineStr">
        <is>
          <t>IT-3010303</t>
        </is>
      </c>
      <c r="B51" s="39" t="inlineStr">
        <is>
          <t>IT-3010303</t>
        </is>
      </c>
      <c r="C51" s="39" t="inlineStr"/>
      <c r="D51" s="40" t="inlineStr">
        <is>
          <t>HCSC_BackFill_Set_2_files process.</t>
        </is>
      </c>
      <c r="E51" s="40" t="inlineStr"/>
      <c r="F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40" t="inlineStr">
        <is>
          <t>Second set of files proceed from the Nile side.</t>
        </is>
      </c>
      <c r="H51" s="39" t="inlineStr">
        <is>
          <t>Other</t>
        </is>
      </c>
      <c r="I51" s="39" t="inlineStr">
        <is>
          <t>Other</t>
        </is>
      </c>
      <c r="J51" s="39" t="inlineStr"/>
      <c r="K51" s="39" t="inlineStr">
        <is>
          <t>Closed</t>
        </is>
      </c>
      <c r="L51" s="39" t="inlineStr">
        <is>
          <t>2026-04-24</t>
        </is>
      </c>
      <c r="M51" s="39" t="inlineStr">
        <is>
          <t>2026-04-28</t>
        </is>
      </c>
      <c r="N51" s="39" t="inlineStr">
        <is>
          <t>Nile Production Support</t>
        </is>
      </c>
      <c r="O51" s="39" t="inlineStr">
        <is>
          <t>Unassigned</t>
        </is>
      </c>
      <c r="P51" s="39" t="inlineStr">
        <is>
          <t>Kantimahanti, Ravisankar</t>
        </is>
      </c>
      <c r="Q51" s="39" t="inlineStr">
        <is>
          <t>Done</t>
        </is>
      </c>
      <c r="R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9" t="inlineStr"/>
      <c r="T51" s="39" t="inlineStr"/>
      <c r="U51" s="39" t="inlineStr"/>
      <c r="V51" s="51" t="inlineStr">
        <is>
          <t>Other</t>
        </is>
      </c>
      <c r="W51" s="39" t="inlineStr">
        <is>
          <t>Yes</t>
        </is>
      </c>
    </row>
    <row r="52">
      <c r="A52" s="42" t="inlineStr">
        <is>
          <t>IT-3009815</t>
        </is>
      </c>
      <c r="B52" s="42" t="inlineStr">
        <is>
          <t>IT-3009815</t>
        </is>
      </c>
      <c r="C52" s="42" t="inlineStr"/>
      <c r="D52" s="43" t="inlineStr">
        <is>
          <t>Centene PCCV MI MCD Expansion Prod Transition Documents Review</t>
        </is>
      </c>
      <c r="E52" s="43" t="inlineStr">
        <is>
          <t>Please review the prod transition checklist documents for Centene PCCV MI MCD Expansion and let us know if any changes are needed. Creating this ticket as a placeholder. Will update ticket with document links once complete.</t>
        </is>
      </c>
      <c r="F52" s="43" t="inlineStr">
        <is>
          <t>Awaiting documents.</t>
        </is>
      </c>
      <c r="G52" s="43" t="inlineStr"/>
      <c r="H52" s="42" t="inlineStr">
        <is>
          <t>Other</t>
        </is>
      </c>
      <c r="I52" s="42" t="inlineStr">
        <is>
          <t>Other</t>
        </is>
      </c>
      <c r="J52" s="42" t="inlineStr"/>
      <c r="K52" s="42" t="inlineStr">
        <is>
          <t>On Hold</t>
        </is>
      </c>
      <c r="L52" s="42" t="inlineStr">
        <is>
          <t>2026-04-23</t>
        </is>
      </c>
      <c r="M52" s="42" t="inlineStr">
        <is>
          <t>2026-05-05</t>
        </is>
      </c>
      <c r="N52" s="42" t="inlineStr">
        <is>
          <t>Nile Production Support</t>
        </is>
      </c>
      <c r="O52" s="42" t="inlineStr">
        <is>
          <t>Unassigned</t>
        </is>
      </c>
      <c r="P52" s="42" t="inlineStr">
        <is>
          <t>Malmgren, Natalie</t>
        </is>
      </c>
      <c r="Q52" s="42" t="inlineStr">
        <is>
          <t>Unresolved</t>
        </is>
      </c>
      <c r="R52" s="43" t="inlineStr">
        <is>
          <t>Awaiting documents.</t>
        </is>
      </c>
      <c r="S52" s="42" t="inlineStr"/>
      <c r="T52" s="42" t="inlineStr"/>
      <c r="U52" s="42" t="inlineStr"/>
      <c r="V52" s="50" t="inlineStr">
        <is>
          <t>Other</t>
        </is>
      </c>
      <c r="W52" s="42" t="inlineStr">
        <is>
          <t>Yes</t>
        </is>
      </c>
    </row>
    <row r="53">
      <c r="A53" s="39" t="inlineStr">
        <is>
          <t>IT-3009664</t>
        </is>
      </c>
      <c r="B53" s="39" t="inlineStr">
        <is>
          <t>IT-3009664</t>
        </is>
      </c>
      <c r="C53" s="39" t="inlineStr"/>
      <c r="D53" s="40" t="inlineStr">
        <is>
          <t>Clarification on Premera History Files for Data Date 2026/04/06</t>
        </is>
      </c>
      <c r="E53" s="40"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40" t="inlineStr">
        <is>
          <t>Replacement from client on 5/1/2026 processed successfully</t>
        </is>
      </c>
      <c r="H53" s="39" t="inlineStr">
        <is>
          <t>Other</t>
        </is>
      </c>
      <c r="I53" s="39" t="inlineStr">
        <is>
          <t>Other</t>
        </is>
      </c>
      <c r="J53" s="39" t="inlineStr"/>
      <c r="K53" s="39" t="inlineStr">
        <is>
          <t>Closed</t>
        </is>
      </c>
      <c r="L53" s="39" t="inlineStr">
        <is>
          <t>2026-04-23</t>
        </is>
      </c>
      <c r="M53" s="39" t="inlineStr">
        <is>
          <t>2026-05-04</t>
        </is>
      </c>
      <c r="N53" s="39" t="inlineStr">
        <is>
          <t>Nile Production Support</t>
        </is>
      </c>
      <c r="O53" s="39" t="inlineStr">
        <is>
          <t>Unassigned</t>
        </is>
      </c>
      <c r="P53" s="39" t="inlineStr">
        <is>
          <t>Spinelli, Adam</t>
        </is>
      </c>
      <c r="Q53" s="39" t="inlineStr">
        <is>
          <t>Resolved</t>
        </is>
      </c>
      <c r="R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9" t="inlineStr"/>
      <c r="T53" s="39" t="inlineStr"/>
      <c r="U53" s="39" t="inlineStr"/>
      <c r="V53" s="51" t="inlineStr">
        <is>
          <t>Other</t>
        </is>
      </c>
      <c r="W53" s="39" t="inlineStr">
        <is>
          <t>Yes</t>
        </is>
      </c>
    </row>
    <row r="54">
      <c r="A54" s="42" t="inlineStr">
        <is>
          <t>IT-3009644</t>
        </is>
      </c>
      <c r="B54" s="42" t="inlineStr">
        <is>
          <t>IT-3009644</t>
        </is>
      </c>
      <c r="C54" s="42" t="inlineStr"/>
      <c r="D54" s="43" t="inlineStr">
        <is>
          <t>Premera - Automated Ack File Appealed Line Sequence Length Clarification</t>
        </is>
      </c>
      <c r="E54" s="43"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3" t="inlineStr"/>
      <c r="H54" s="42" t="inlineStr">
        <is>
          <t>Other</t>
        </is>
      </c>
      <c r="I54" s="42" t="inlineStr">
        <is>
          <t>Other</t>
        </is>
      </c>
      <c r="J54" s="42" t="inlineStr"/>
      <c r="K54" s="42" t="inlineStr">
        <is>
          <t>On Hold</t>
        </is>
      </c>
      <c r="L54" s="42" t="inlineStr">
        <is>
          <t>2026-04-23</t>
        </is>
      </c>
      <c r="M54" s="42" t="inlineStr">
        <is>
          <t>2026-04-29</t>
        </is>
      </c>
      <c r="N54" s="42" t="inlineStr">
        <is>
          <t>Nile Production Support</t>
        </is>
      </c>
      <c r="O54" s="42" t="inlineStr">
        <is>
          <t>Unassigned</t>
        </is>
      </c>
      <c r="P54" s="42" t="inlineStr">
        <is>
          <t>Spinelli, Adam</t>
        </is>
      </c>
      <c r="Q54" s="42" t="inlineStr">
        <is>
          <t>Unresolved</t>
        </is>
      </c>
      <c r="R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42" t="inlineStr"/>
      <c r="T54" s="42" t="inlineStr"/>
      <c r="U54" s="42" t="inlineStr"/>
      <c r="V54" s="60" t="inlineStr">
        <is>
          <t>Schema issue</t>
        </is>
      </c>
      <c r="W54" s="42" t="inlineStr"/>
    </row>
    <row r="55">
      <c r="A55" s="39" t="inlineStr">
        <is>
          <t>IT-3009150</t>
        </is>
      </c>
      <c r="B55" s="39" t="inlineStr">
        <is>
          <t>IT-3009150</t>
        </is>
      </c>
      <c r="C55" s="39" t="inlineStr"/>
      <c r="D55" s="40" t="inlineStr">
        <is>
          <t>CareFirst Missing History</t>
        </is>
      </c>
      <c r="E55" s="40"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40" t="inlineStr"/>
      <c r="H55" s="39" t="inlineStr">
        <is>
          <t>Other</t>
        </is>
      </c>
      <c r="I55" s="39" t="inlineStr">
        <is>
          <t>Other</t>
        </is>
      </c>
      <c r="J55" s="39" t="inlineStr"/>
      <c r="K55" s="39" t="inlineStr">
        <is>
          <t>In Progress (HD1)</t>
        </is>
      </c>
      <c r="L55" s="39" t="inlineStr">
        <is>
          <t>2026-04-23</t>
        </is>
      </c>
      <c r="M55" s="39" t="inlineStr">
        <is>
          <t>2026-04-29</t>
        </is>
      </c>
      <c r="N55" s="39" t="inlineStr">
        <is>
          <t>Nile Production Support</t>
        </is>
      </c>
      <c r="O55" s="39" t="inlineStr">
        <is>
          <t>Unassigned</t>
        </is>
      </c>
      <c r="P55" s="39" t="inlineStr">
        <is>
          <t>Snyder, Amery</t>
        </is>
      </c>
      <c r="Q55" s="39" t="inlineStr">
        <is>
          <t>Unresolved</t>
        </is>
      </c>
      <c r="R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9" t="inlineStr"/>
      <c r="T55" s="39" t="inlineStr"/>
      <c r="U55" s="39" t="inlineStr"/>
      <c r="V55" s="55" t="inlineStr">
        <is>
          <t>File Missing</t>
        </is>
      </c>
      <c r="W55" s="39" t="inlineStr"/>
    </row>
    <row r="56">
      <c r="A56" s="42" t="inlineStr">
        <is>
          <t>IT-3008418</t>
        </is>
      </c>
      <c r="B56" s="42" t="inlineStr">
        <is>
          <t>IT-3008418</t>
        </is>
      </c>
      <c r="C56" s="42" t="inlineStr"/>
      <c r="D56" s="43" t="inlineStr">
        <is>
          <t>Monthly uhc - cosmos pipeline failed for 2026/04</t>
        </is>
      </c>
      <c r="E56" s="43" t="inlineStr">
        <is>
          <t>Pipeline name: dm-uhc-cosmos-actian_migration_dscnttype dm-uhc-cosmos-actian_migration_HcccCd</t>
        </is>
      </c>
      <c r="F56" s="43" t="inlineStr"/>
      <c r="G56" s="43" t="inlineStr"/>
      <c r="H56" s="42" t="inlineStr">
        <is>
          <t>Other</t>
        </is>
      </c>
      <c r="I56" s="42" t="inlineStr">
        <is>
          <t>Other</t>
        </is>
      </c>
      <c r="J56" s="42" t="inlineStr"/>
      <c r="K56" s="42" t="inlineStr">
        <is>
          <t>Open</t>
        </is>
      </c>
      <c r="L56" s="42" t="inlineStr">
        <is>
          <t>2026-04-23</t>
        </is>
      </c>
      <c r="M56" s="42" t="inlineStr">
        <is>
          <t>2026-04-23</t>
        </is>
      </c>
      <c r="N56" s="42" t="inlineStr">
        <is>
          <t>Nile Production Support</t>
        </is>
      </c>
      <c r="O56" s="42" t="inlineStr">
        <is>
          <t>Unassigned</t>
        </is>
      </c>
      <c r="P56" s="42" t="inlineStr">
        <is>
          <t>Limbu, Sajan</t>
        </is>
      </c>
      <c r="Q56" s="42" t="inlineStr">
        <is>
          <t>Unresolved</t>
        </is>
      </c>
      <c r="R56" s="43" t="inlineStr"/>
      <c r="S56" s="42" t="inlineStr"/>
      <c r="T56" s="42" t="inlineStr"/>
      <c r="U56" s="42" t="inlineStr"/>
      <c r="V56" s="48" t="inlineStr">
        <is>
          <t>Pipeline Schedule</t>
        </is>
      </c>
      <c r="W56" s="42" t="inlineStr"/>
    </row>
    <row r="57">
      <c r="A57" s="39" t="inlineStr">
        <is>
          <t>IT-3008305</t>
        </is>
      </c>
      <c r="B57" s="39" t="inlineStr">
        <is>
          <t>IT-3008305</t>
        </is>
      </c>
      <c r="C57" s="39" t="inlineStr"/>
      <c r="D57" s="40" t="inlineStr">
        <is>
          <t>Update the tracker with the newly deployed History and TBA Lean Ingestion pipelines for Oscar-Homegrown that are now live in production.</t>
        </is>
      </c>
      <c r="E57" s="40"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40" t="inlineStr"/>
      <c r="G57" s="40" t="inlineStr">
        <is>
          <t>Details recorded accordingly.</t>
        </is>
      </c>
      <c r="H57" s="39" t="inlineStr">
        <is>
          <t>Other</t>
        </is>
      </c>
      <c r="I57" s="39" t="inlineStr">
        <is>
          <t>Other</t>
        </is>
      </c>
      <c r="J57" s="39" t="inlineStr"/>
      <c r="K57" s="39" t="inlineStr">
        <is>
          <t>Closed</t>
        </is>
      </c>
      <c r="L57" s="39" t="inlineStr">
        <is>
          <t>2026-04-23</t>
        </is>
      </c>
      <c r="M57" s="39" t="inlineStr">
        <is>
          <t>2026-04-29</t>
        </is>
      </c>
      <c r="N57" s="39" t="inlineStr">
        <is>
          <t>Nile Production Support</t>
        </is>
      </c>
      <c r="O57" s="39" t="inlineStr">
        <is>
          <t>Unassigned</t>
        </is>
      </c>
      <c r="P57" s="39" t="inlineStr">
        <is>
          <t>Karakavalasa, SriVarshini</t>
        </is>
      </c>
      <c r="Q57" s="39" t="inlineStr">
        <is>
          <t>Resolved</t>
        </is>
      </c>
      <c r="R57" s="40" t="inlineStr"/>
      <c r="S57" s="39" t="inlineStr"/>
      <c r="T57" s="39" t="inlineStr"/>
      <c r="U57" s="39" t="inlineStr"/>
      <c r="V57" s="51" t="inlineStr">
        <is>
          <t>Other</t>
        </is>
      </c>
      <c r="W57" s="39" t="inlineStr">
        <is>
          <t>Yes</t>
        </is>
      </c>
    </row>
    <row r="58">
      <c r="A58" s="42" t="inlineStr">
        <is>
          <t>IT-3008084</t>
        </is>
      </c>
      <c r="B58" s="42" t="inlineStr">
        <is>
          <t>IT-3008084</t>
        </is>
      </c>
      <c r="C58" s="42" t="inlineStr"/>
      <c r="D58" s="43" t="inlineStr">
        <is>
          <t>Peer Review for Aetna-Trad-SCM BMC pipeline Optimization</t>
        </is>
      </c>
      <c r="E58"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3" t="inlineStr">
        <is>
          <t>Hi Kamsetty, Sravani , Verified that all child pipelines have been published successfully.</t>
        </is>
      </c>
      <c r="G58" s="43" t="inlineStr">
        <is>
          <t>Verified that all child pipelines are published, ensuring the latest versions are used when running the BMC pipelines.</t>
        </is>
      </c>
      <c r="H58" s="42" t="inlineStr">
        <is>
          <t>Other</t>
        </is>
      </c>
      <c r="I58" s="42" t="inlineStr">
        <is>
          <t>Other</t>
        </is>
      </c>
      <c r="J58" s="42" t="inlineStr"/>
      <c r="K58" s="42" t="inlineStr">
        <is>
          <t>Closed</t>
        </is>
      </c>
      <c r="L58" s="42" t="inlineStr">
        <is>
          <t>2026-04-23</t>
        </is>
      </c>
      <c r="M58" s="42" t="inlineStr">
        <is>
          <t>2026-04-24</t>
        </is>
      </c>
      <c r="N58" s="42" t="inlineStr">
        <is>
          <t>Nile Production Support</t>
        </is>
      </c>
      <c r="O58" s="42" t="inlineStr">
        <is>
          <t>Unassigned</t>
        </is>
      </c>
      <c r="P58" s="42" t="inlineStr">
        <is>
          <t>Kamsetty, Sravani</t>
        </is>
      </c>
      <c r="Q58" s="42" t="inlineStr">
        <is>
          <t>Done</t>
        </is>
      </c>
      <c r="R58" s="43" t="inlineStr">
        <is>
          <t>Hi Kamsetty, Sravani , Verified that all child pipelines have been published successfully.</t>
        </is>
      </c>
      <c r="S58" s="42" t="inlineStr"/>
      <c r="T58" s="42" t="inlineStr"/>
      <c r="U58" s="42" t="inlineStr"/>
      <c r="V58" s="50" t="inlineStr">
        <is>
          <t>Other</t>
        </is>
      </c>
      <c r="W58" s="42" t="inlineStr">
        <is>
          <t>Yes</t>
        </is>
      </c>
    </row>
    <row r="59">
      <c r="A59" s="39" t="inlineStr">
        <is>
          <t>IT-3007910</t>
        </is>
      </c>
      <c r="B59" s="39" t="inlineStr">
        <is>
          <t>IT-3007910</t>
        </is>
      </c>
      <c r="C59" s="39" t="inlineStr"/>
      <c r="D59" s="40" t="inlineStr">
        <is>
          <t>WellCare RCA ARK Client Transition.</t>
        </is>
      </c>
      <c r="E59" s="40" t="inlineStr">
        <is>
          <t>WellCare RCA ARK Client Transition.</t>
        </is>
      </c>
      <c r="F59" s="40" t="inlineStr"/>
      <c r="G59" s="40" t="inlineStr">
        <is>
          <t>Transition Completed successfully.</t>
        </is>
      </c>
      <c r="H59" s="39" t="inlineStr">
        <is>
          <t>Other</t>
        </is>
      </c>
      <c r="I59" s="39" t="inlineStr">
        <is>
          <t>Other</t>
        </is>
      </c>
      <c r="J59" s="39" t="inlineStr"/>
      <c r="K59" s="39" t="inlineStr">
        <is>
          <t>Closed</t>
        </is>
      </c>
      <c r="L59" s="39" t="inlineStr">
        <is>
          <t>2026-04-23</t>
        </is>
      </c>
      <c r="M59" s="39" t="inlineStr">
        <is>
          <t>2026-04-23</t>
        </is>
      </c>
      <c r="N59" s="39" t="inlineStr">
        <is>
          <t>Nile Production Support</t>
        </is>
      </c>
      <c r="O59" s="39" t="inlineStr">
        <is>
          <t>Unassigned</t>
        </is>
      </c>
      <c r="P59" s="39" t="inlineStr">
        <is>
          <t>Jani, Shaik</t>
        </is>
      </c>
      <c r="Q59" s="39" t="inlineStr">
        <is>
          <t>Resolved</t>
        </is>
      </c>
      <c r="R59" s="40" t="inlineStr"/>
      <c r="S59" s="39" t="inlineStr"/>
      <c r="T59" s="39" t="inlineStr"/>
      <c r="U59" s="39" t="inlineStr"/>
      <c r="V59" s="51" t="inlineStr">
        <is>
          <t>Other</t>
        </is>
      </c>
      <c r="W59" s="39" t="inlineStr">
        <is>
          <t>Yes</t>
        </is>
      </c>
    </row>
    <row r="60">
      <c r="A60" s="42" t="inlineStr">
        <is>
          <t>IT-3007255</t>
        </is>
      </c>
      <c r="B60" s="42" t="inlineStr">
        <is>
          <t>IT-3007255</t>
        </is>
      </c>
      <c r="C60" s="42" t="inlineStr"/>
      <c r="D60" s="43" t="inlineStr">
        <is>
          <t>Copy 2 Aetna Trad files from dataingestionprod/ to dataingestiondev/</t>
        </is>
      </c>
      <c r="E60" s="43" t="inlineStr">
        <is>
          <t>Hello, I would like to copy 2 files from dataingestionprod/ to dataingestiondev/ in HDFS. Server is nile prod. Please see attached for files and copy destinations. Ping me with any questions. Thank you.</t>
        </is>
      </c>
      <c r="F60" s="43" t="inlineStr">
        <is>
          <t>Data request - monthly Provider and Member files - Aenta Trad.xlsx (11 kB) Hi Maguire, Patrick Files copied please verify Thanks</t>
        </is>
      </c>
      <c r="G60" s="43" t="inlineStr">
        <is>
          <t>Files Copied</t>
        </is>
      </c>
      <c r="H60" s="42" t="inlineStr">
        <is>
          <t>Other</t>
        </is>
      </c>
      <c r="I60" s="42" t="inlineStr">
        <is>
          <t>Other</t>
        </is>
      </c>
      <c r="J60" s="42" t="inlineStr"/>
      <c r="K60" s="42" t="inlineStr">
        <is>
          <t>Closed</t>
        </is>
      </c>
      <c r="L60" s="42" t="inlineStr">
        <is>
          <t>2026-04-22</t>
        </is>
      </c>
      <c r="M60" s="42" t="inlineStr">
        <is>
          <t>2026-04-23</t>
        </is>
      </c>
      <c r="N60" s="42" t="inlineStr">
        <is>
          <t>Nile Production Support</t>
        </is>
      </c>
      <c r="O60" s="42" t="inlineStr">
        <is>
          <t>Unassigned</t>
        </is>
      </c>
      <c r="P60" s="42" t="inlineStr">
        <is>
          <t>Maguire, Patrick</t>
        </is>
      </c>
      <c r="Q60" s="42" t="inlineStr">
        <is>
          <t>Resolved</t>
        </is>
      </c>
      <c r="R60" s="43" t="inlineStr">
        <is>
          <t>Data request - monthly Provider and Member files - Aenta Trad.xlsx (11 kB) Hi Maguire, Patrick Files copied please verify Thanks</t>
        </is>
      </c>
      <c r="S60" s="42" t="inlineStr"/>
      <c r="T60" s="42" t="inlineStr"/>
      <c r="U60" s="42" t="inlineStr"/>
      <c r="V60" s="58" t="inlineStr">
        <is>
          <t>Issue Platform</t>
        </is>
      </c>
      <c r="W60" s="42" t="inlineStr"/>
    </row>
    <row r="61">
      <c r="A61" s="39" t="inlineStr">
        <is>
          <t>IT-3005937</t>
        </is>
      </c>
      <c r="B61" s="39" t="inlineStr">
        <is>
          <t>IT-3005937</t>
        </is>
      </c>
      <c r="C61" s="39" t="inlineStr"/>
      <c r="D61" s="40" t="inlineStr">
        <is>
          <t>Please add these two pipelines in the tracking sheet..</t>
        </is>
      </c>
      <c r="E61" s="40"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40" t="inlineStr"/>
      <c r="G61" s="40" t="inlineStr">
        <is>
          <t>Updated the details in tracker.</t>
        </is>
      </c>
      <c r="H61" s="39" t="inlineStr">
        <is>
          <t>Other</t>
        </is>
      </c>
      <c r="I61" s="39" t="inlineStr">
        <is>
          <t>Other</t>
        </is>
      </c>
      <c r="J61" s="39" t="inlineStr"/>
      <c r="K61" s="39" t="inlineStr">
        <is>
          <t>Closed</t>
        </is>
      </c>
      <c r="L61" s="39" t="inlineStr">
        <is>
          <t>2026-04-22</t>
        </is>
      </c>
      <c r="M61" s="39" t="inlineStr">
        <is>
          <t>2026-04-23</t>
        </is>
      </c>
      <c r="N61" s="39" t="inlineStr">
        <is>
          <t>Nile Production Support</t>
        </is>
      </c>
      <c r="O61" s="39" t="inlineStr">
        <is>
          <t>Unassigned</t>
        </is>
      </c>
      <c r="P61" s="39" t="inlineStr">
        <is>
          <t>Suryani, Melly</t>
        </is>
      </c>
      <c r="Q61" s="39" t="inlineStr">
        <is>
          <t>Resolved</t>
        </is>
      </c>
      <c r="R61" s="40" t="inlineStr"/>
      <c r="S61" s="39" t="inlineStr"/>
      <c r="T61" s="39" t="inlineStr"/>
      <c r="U61" s="39" t="inlineStr"/>
      <c r="V61" s="51" t="inlineStr">
        <is>
          <t>Other</t>
        </is>
      </c>
      <c r="W61" s="39" t="inlineStr">
        <is>
          <t>Yes</t>
        </is>
      </c>
    </row>
    <row r="62">
      <c r="A62" s="42" t="inlineStr">
        <is>
          <t>IT-3005392</t>
        </is>
      </c>
      <c r="B62" s="42" t="inlineStr">
        <is>
          <t>IT-3005392</t>
        </is>
      </c>
      <c r="C62" s="42" t="inlineStr"/>
      <c r="D62" s="43" t="inlineStr">
        <is>
          <t>HCSC_BackFill_Set_1_files process.</t>
        </is>
      </c>
      <c r="E62" s="43" t="inlineStr"/>
      <c r="F62" s="43" t="inlineStr">
        <is>
          <t>we already proceed the set1 files and completed.</t>
        </is>
      </c>
      <c r="G62" s="43" t="inlineStr">
        <is>
          <t>we got the confirmation from the user and closed this ticket.</t>
        </is>
      </c>
      <c r="H62" s="42" t="inlineStr">
        <is>
          <t>Other</t>
        </is>
      </c>
      <c r="I62" s="42" t="inlineStr">
        <is>
          <t>Other</t>
        </is>
      </c>
      <c r="J62" s="42" t="inlineStr"/>
      <c r="K62" s="42" t="inlineStr">
        <is>
          <t>Closed</t>
        </is>
      </c>
      <c r="L62" s="42" t="inlineStr">
        <is>
          <t>2026-04-22</t>
        </is>
      </c>
      <c r="M62" s="42" t="inlineStr">
        <is>
          <t>2026-04-24</t>
        </is>
      </c>
      <c r="N62" s="42" t="inlineStr">
        <is>
          <t>Nile Production Support</t>
        </is>
      </c>
      <c r="O62" s="42" t="inlineStr">
        <is>
          <t>Unassigned</t>
        </is>
      </c>
      <c r="P62" s="42" t="inlineStr">
        <is>
          <t>Kantimahanti, Ravisankar</t>
        </is>
      </c>
      <c r="Q62" s="42" t="inlineStr">
        <is>
          <t>Done</t>
        </is>
      </c>
      <c r="R62" s="43" t="inlineStr">
        <is>
          <t>we already proceed the set1 files and completed.</t>
        </is>
      </c>
      <c r="S62" s="42" t="inlineStr"/>
      <c r="T62" s="42" t="inlineStr"/>
      <c r="U62" s="42" t="inlineStr"/>
      <c r="V62" s="50" t="inlineStr">
        <is>
          <t>Other</t>
        </is>
      </c>
      <c r="W62" s="42" t="inlineStr">
        <is>
          <t>Yes</t>
        </is>
      </c>
    </row>
    <row r="63">
      <c r="A63" s="39" t="inlineStr">
        <is>
          <t>IT-3005387</t>
        </is>
      </c>
      <c r="B63" s="39" t="inlineStr">
        <is>
          <t>IT-3005387</t>
        </is>
      </c>
      <c r="C63" s="39" t="inlineStr"/>
      <c r="D63" s="40" t="inlineStr">
        <is>
          <t>[harvardpilgrim - ohi]-Update prechecks for BMC and publish all the child pipelines.</t>
        </is>
      </c>
      <c r="E63" s="40" t="inlineStr">
        <is>
          <t>Update precheck with pipeline version as latest and remove all the unnecessary parameters from the pipeline. Publish all the child pipelines and modify subscribe BMC pipeline versions to latest.</t>
        </is>
      </c>
      <c r="F63" s="40" t="inlineStr">
        <is>
          <t>I have implemented the BMC optimization for the clients assigned to me.</t>
        </is>
      </c>
      <c r="G63" s="40" t="inlineStr">
        <is>
          <t>I have implemented the BMC optimization for the clients assigned to me.</t>
        </is>
      </c>
      <c r="H63" s="39" t="inlineStr">
        <is>
          <t>Other</t>
        </is>
      </c>
      <c r="I63" s="39" t="inlineStr">
        <is>
          <t>Other</t>
        </is>
      </c>
      <c r="J63" s="39" t="inlineStr"/>
      <c r="K63" s="39" t="inlineStr">
        <is>
          <t>Closed</t>
        </is>
      </c>
      <c r="L63" s="39" t="inlineStr">
        <is>
          <t>2026-04-22</t>
        </is>
      </c>
      <c r="M63" s="39" t="inlineStr">
        <is>
          <t>2026-05-05</t>
        </is>
      </c>
      <c r="N63" s="39" t="inlineStr">
        <is>
          <t>Nile Production Support</t>
        </is>
      </c>
      <c r="O63" s="39" t="inlineStr">
        <is>
          <t>Unassigned</t>
        </is>
      </c>
      <c r="P63" s="39" t="inlineStr">
        <is>
          <t>Kantimahanti, Ravisankar</t>
        </is>
      </c>
      <c r="Q63" s="39" t="inlineStr">
        <is>
          <t>Resolved</t>
        </is>
      </c>
      <c r="R63" s="40" t="inlineStr">
        <is>
          <t>I have implemented the BMC optimization for the clients assigned to me.</t>
        </is>
      </c>
      <c r="S63" s="39" t="inlineStr"/>
      <c r="T63" s="39" t="inlineStr"/>
      <c r="U63" s="39" t="inlineStr"/>
      <c r="V63" s="51" t="inlineStr">
        <is>
          <t>Other</t>
        </is>
      </c>
      <c r="W63" s="39" t="inlineStr">
        <is>
          <t>Yes</t>
        </is>
      </c>
    </row>
    <row r="64">
      <c r="A64" s="42" t="inlineStr">
        <is>
          <t>IT-3005308</t>
        </is>
      </c>
      <c r="B64" s="42" t="inlineStr">
        <is>
          <t>IT-3005308</t>
        </is>
      </c>
      <c r="C64" s="42" t="inlineStr"/>
      <c r="D64" s="43" t="inlineStr">
        <is>
          <t>OLA Configuration Changes and Monitoring on cigna-cghb-rca-prepay</t>
        </is>
      </c>
      <c r="E64" s="43" t="inlineStr">
        <is>
          <t>I have made configuration changes in OLA, including adding buffer time. I will monitor a few executions and confirm that the changes are working as expected.</t>
        </is>
      </c>
      <c r="F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3" t="inlineStr"/>
      <c r="H64" s="42" t="inlineStr">
        <is>
          <t>Other</t>
        </is>
      </c>
      <c r="I64" s="42" t="inlineStr">
        <is>
          <t>Other</t>
        </is>
      </c>
      <c r="J64" s="42" t="inlineStr"/>
      <c r="K64" s="42" t="inlineStr">
        <is>
          <t>On Hold</t>
        </is>
      </c>
      <c r="L64" s="42" t="inlineStr">
        <is>
          <t>2026-04-22</t>
        </is>
      </c>
      <c r="M64" s="42" t="inlineStr">
        <is>
          <t>2026-05-05</t>
        </is>
      </c>
      <c r="N64" s="42" t="inlineStr">
        <is>
          <t>Nile Production Support</t>
        </is>
      </c>
      <c r="O64" s="42" t="inlineStr">
        <is>
          <t>Unassigned</t>
        </is>
      </c>
      <c r="P64" s="42" t="inlineStr">
        <is>
          <t>Bhattarai, Krishna</t>
        </is>
      </c>
      <c r="Q64" s="42" t="inlineStr">
        <is>
          <t>Unresolved</t>
        </is>
      </c>
      <c r="R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42" t="inlineStr"/>
      <c r="T64" s="42" t="inlineStr"/>
      <c r="U64" s="42" t="inlineStr"/>
      <c r="V64" s="54" t="inlineStr">
        <is>
          <t>Configuration Issue</t>
        </is>
      </c>
      <c r="W64" s="42" t="inlineStr"/>
    </row>
    <row r="65">
      <c r="A65" s="39" t="inlineStr">
        <is>
          <t>IT-3005302</t>
        </is>
      </c>
      <c r="B65" s="39" t="inlineStr">
        <is>
          <t>IT-3005302</t>
        </is>
      </c>
      <c r="C65" s="39" t="inlineStr"/>
      <c r="D65" s="40" t="inlineStr">
        <is>
          <t>OLA Configuration Changes and Monitoring on Securityhealth - qnxt</t>
        </is>
      </c>
      <c r="E65" s="40" t="inlineStr">
        <is>
          <t>I have made configuration changes in OLA, including adding buffer time. I will monitor a few executions and confirm that the changes are working as expected.</t>
        </is>
      </c>
      <c r="F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40" t="inlineStr"/>
      <c r="H65" s="39" t="inlineStr">
        <is>
          <t>Other</t>
        </is>
      </c>
      <c r="I65" s="39" t="inlineStr">
        <is>
          <t>Other</t>
        </is>
      </c>
      <c r="J65" s="39" t="inlineStr"/>
      <c r="K65" s="39" t="inlineStr">
        <is>
          <t>On Hold</t>
        </is>
      </c>
      <c r="L65" s="39" t="inlineStr">
        <is>
          <t>2026-04-22</t>
        </is>
      </c>
      <c r="M65" s="39" t="inlineStr">
        <is>
          <t>2026-05-05</t>
        </is>
      </c>
      <c r="N65" s="39" t="inlineStr">
        <is>
          <t>Nile Production Support</t>
        </is>
      </c>
      <c r="O65" s="39" t="inlineStr">
        <is>
          <t>Unassigned</t>
        </is>
      </c>
      <c r="P65" s="39" t="inlineStr">
        <is>
          <t>Bhattarai, Krishna</t>
        </is>
      </c>
      <c r="Q65" s="39" t="inlineStr">
        <is>
          <t>Unresolved</t>
        </is>
      </c>
      <c r="R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9" t="inlineStr"/>
      <c r="T65" s="39" t="inlineStr"/>
      <c r="U65" s="39" t="inlineStr"/>
      <c r="V65" s="45" t="inlineStr">
        <is>
          <t>Configuration Issue</t>
        </is>
      </c>
      <c r="W65" s="39" t="inlineStr"/>
    </row>
    <row r="66">
      <c r="A66" s="42" t="inlineStr">
        <is>
          <t>IT-3005125</t>
        </is>
      </c>
      <c r="B66" s="42" t="inlineStr">
        <is>
          <t>IT-3005125</t>
        </is>
      </c>
      <c r="C66" s="42" t="inlineStr"/>
      <c r="D66" s="43" t="inlineStr">
        <is>
          <t>Daily pipeline tricm tba professional pipeline is getting failed for 2026/04/21</t>
        </is>
      </c>
      <c r="E66" s="43"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3" t="inlineStr">
        <is>
          <t>0 byte files received and blocking the ingestion, deleted the file from raw location and File processed successfully.</t>
        </is>
      </c>
      <c r="G66" s="43" t="inlineStr">
        <is>
          <t>0 byte files received and blocking the ingestion, deleted the file from raw location and File processed successfully.</t>
        </is>
      </c>
      <c r="H66" s="42" t="inlineStr">
        <is>
          <t>Other</t>
        </is>
      </c>
      <c r="I66" s="42" t="inlineStr">
        <is>
          <t>Other</t>
        </is>
      </c>
      <c r="J66" s="42" t="inlineStr"/>
      <c r="K66" s="42" t="inlineStr">
        <is>
          <t>Closed</t>
        </is>
      </c>
      <c r="L66" s="42" t="inlineStr">
        <is>
          <t>2026-04-21</t>
        </is>
      </c>
      <c r="M66" s="42" t="inlineStr">
        <is>
          <t>2026-04-22</t>
        </is>
      </c>
      <c r="N66" s="42" t="inlineStr">
        <is>
          <t>Nile Production Support</t>
        </is>
      </c>
      <c r="O66" s="42" t="inlineStr">
        <is>
          <t>Unassigned</t>
        </is>
      </c>
      <c r="P66" s="42" t="inlineStr">
        <is>
          <t>Kandel, Amik</t>
        </is>
      </c>
      <c r="Q66" s="42" t="inlineStr">
        <is>
          <t>Resolved</t>
        </is>
      </c>
      <c r="R66" s="43" t="inlineStr">
        <is>
          <t>0 byte files received and blocking the ingestion, deleted the file from raw location and File processed successfully.</t>
        </is>
      </c>
      <c r="S66" s="42" t="inlineStr"/>
      <c r="T66" s="42" t="inlineStr"/>
      <c r="U66" s="42" t="inlineStr"/>
      <c r="V66" s="48" t="inlineStr">
        <is>
          <t>Pipeline Schedule</t>
        </is>
      </c>
      <c r="W66" s="42" t="inlineStr"/>
    </row>
    <row r="67">
      <c r="A67" s="39" t="inlineStr">
        <is>
          <t>IT-3004600</t>
        </is>
      </c>
      <c r="B67" s="39" t="inlineStr">
        <is>
          <t>IT-3004600</t>
        </is>
      </c>
      <c r="C67" s="39" t="inlineStr"/>
      <c r="D67" s="40" t="inlineStr">
        <is>
          <t>TXCHP Professional Institutional/TBA &amp; History Files Failing 4/21/2026</t>
        </is>
      </c>
      <c r="E67" s="40"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40" t="inlineStr"/>
      <c r="H67" s="39" t="inlineStr">
        <is>
          <t>Other</t>
        </is>
      </c>
      <c r="I67" s="39" t="inlineStr">
        <is>
          <t>Other</t>
        </is>
      </c>
      <c r="J67" s="39" t="inlineStr"/>
      <c r="K67" s="39" t="inlineStr">
        <is>
          <t>In Progress (HD1)</t>
        </is>
      </c>
      <c r="L67" s="39" t="inlineStr">
        <is>
          <t>2026-04-21</t>
        </is>
      </c>
      <c r="M67" s="39" t="inlineStr">
        <is>
          <t>2026-05-07</t>
        </is>
      </c>
      <c r="N67" s="39" t="inlineStr">
        <is>
          <t>Nile Production Support</t>
        </is>
      </c>
      <c r="O67" s="39" t="inlineStr">
        <is>
          <t>Unassigned</t>
        </is>
      </c>
      <c r="P67" s="39" t="inlineStr">
        <is>
          <t>Daniels, Ben</t>
        </is>
      </c>
      <c r="Q67" s="39" t="inlineStr">
        <is>
          <t>Unresolved</t>
        </is>
      </c>
      <c r="R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9" t="inlineStr"/>
      <c r="T67" s="39" t="inlineStr"/>
      <c r="U67" s="39" t="inlineStr"/>
      <c r="V67" s="49" t="inlineStr">
        <is>
          <t>File Issue</t>
        </is>
      </c>
      <c r="W67" s="39" t="inlineStr"/>
    </row>
    <row r="68">
      <c r="A68" s="42" t="inlineStr">
        <is>
          <t>IT-3004426</t>
        </is>
      </c>
      <c r="B68" s="42" t="inlineStr">
        <is>
          <t>IT-3004426</t>
        </is>
      </c>
      <c r="C68" s="42" t="inlineStr"/>
      <c r="D68" s="43" t="inlineStr">
        <is>
          <t>Humana PMDM File Ingestion Setup</t>
        </is>
      </c>
      <c r="E68" s="43"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3" t="inlineStr">
        <is>
          <t>R2B2 Ticket reference [RCASA-74509] Humana - Enhance PMDM Monthly File Ingestion to Support Three New Specialty Fields - R&amp;D Jira - WDC Updated Data Dictionary from client located here: Humana Supplemental Data Extract Guide_4.0</t>
        </is>
      </c>
      <c r="G68" s="43" t="inlineStr"/>
      <c r="H68" s="42" t="inlineStr">
        <is>
          <t>Other</t>
        </is>
      </c>
      <c r="I68" s="42" t="inlineStr">
        <is>
          <t>Other</t>
        </is>
      </c>
      <c r="J68" s="42" t="inlineStr"/>
      <c r="K68" s="42" t="inlineStr">
        <is>
          <t>In Progress (HD1)</t>
        </is>
      </c>
      <c r="L68" s="42" t="inlineStr">
        <is>
          <t>2026-04-21</t>
        </is>
      </c>
      <c r="M68" s="42" t="inlineStr">
        <is>
          <t>2026-05-06</t>
        </is>
      </c>
      <c r="N68" s="42" t="inlineStr">
        <is>
          <t>Nile Production Support</t>
        </is>
      </c>
      <c r="O68" s="42" t="inlineStr">
        <is>
          <t>Unassigned</t>
        </is>
      </c>
      <c r="P68" s="42" t="inlineStr">
        <is>
          <t>Franklin, Maria</t>
        </is>
      </c>
      <c r="Q68" s="42" t="inlineStr">
        <is>
          <t>Unresolved</t>
        </is>
      </c>
      <c r="R68" s="43" t="inlineStr">
        <is>
          <t>R2B2 Ticket reference [RCASA-74509] Humana - Enhance PMDM Monthly File Ingestion to Support Three New Specialty Fields - R&amp;D Jira - WDC Updated Data Dictionary from client located here: Humana Supplemental Data Extract Guide_4.0</t>
        </is>
      </c>
      <c r="S68" s="42" t="inlineStr"/>
      <c r="T68" s="42" t="inlineStr"/>
      <c r="U68" s="42" t="inlineStr"/>
      <c r="V68" s="54" t="inlineStr">
        <is>
          <t>Configuration Issue</t>
        </is>
      </c>
      <c r="W68" s="42" t="inlineStr"/>
    </row>
    <row r="69">
      <c r="A69" s="39" t="inlineStr">
        <is>
          <t>IT-3004277</t>
        </is>
      </c>
      <c r="B69" s="39" t="inlineStr">
        <is>
          <t>IT-3004277</t>
        </is>
      </c>
      <c r="C69" s="39" t="inlineStr"/>
      <c r="D69" s="40" t="inlineStr">
        <is>
          <t>Copy data from QC hdfs to Dev hdfs - Nile</t>
        </is>
      </c>
      <c r="E69" s="40"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40" t="inlineStr">
        <is>
          <t>Data Copied</t>
        </is>
      </c>
      <c r="H69" s="39" t="inlineStr">
        <is>
          <t>Other</t>
        </is>
      </c>
      <c r="I69" s="39" t="inlineStr">
        <is>
          <t>Other</t>
        </is>
      </c>
      <c r="J69" s="39" t="inlineStr"/>
      <c r="K69" s="39" t="inlineStr">
        <is>
          <t>Closed</t>
        </is>
      </c>
      <c r="L69" s="39" t="inlineStr">
        <is>
          <t>2026-04-21</t>
        </is>
      </c>
      <c r="M69" s="39" t="inlineStr">
        <is>
          <t>2026-04-22</t>
        </is>
      </c>
      <c r="N69" s="39" t="inlineStr">
        <is>
          <t>Nile Production Support</t>
        </is>
      </c>
      <c r="O69" s="39" t="inlineStr">
        <is>
          <t>Unassigned</t>
        </is>
      </c>
      <c r="P69" s="39" t="inlineStr">
        <is>
          <t>Prasad, Nirav</t>
        </is>
      </c>
      <c r="Q69" s="39" t="inlineStr">
        <is>
          <t>Resolved</t>
        </is>
      </c>
      <c r="R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9" t="inlineStr"/>
      <c r="T69" s="39" t="inlineStr"/>
      <c r="U69" s="39" t="inlineStr"/>
      <c r="V69" s="51" t="inlineStr">
        <is>
          <t>Other</t>
        </is>
      </c>
      <c r="W69" s="39" t="inlineStr">
        <is>
          <t>Yes</t>
        </is>
      </c>
    </row>
    <row r="70">
      <c r="A70" s="42" t="inlineStr">
        <is>
          <t>IT-3004275</t>
        </is>
      </c>
      <c r="B70" s="42" t="inlineStr">
        <is>
          <t>IT-3004275</t>
        </is>
      </c>
      <c r="C70" s="42" t="inlineStr"/>
      <c r="D70" s="43" t="inlineStr">
        <is>
          <t>Please schedule the spooler accentsep-sodexo-inc96L3-CDL</t>
        </is>
      </c>
      <c r="E70" s="43" t="inlineStr">
        <is>
          <t>Please schedule the spooler accentsep-sodexo-inc96L3-CDL . This is monthly file. we will get file from the client between 10th to 20th of the month.</t>
        </is>
      </c>
      <c r="F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3" t="inlineStr">
        <is>
          <t>both spooler and pipeline scheduled</t>
        </is>
      </c>
      <c r="H70" s="42" t="inlineStr">
        <is>
          <t>Other</t>
        </is>
      </c>
      <c r="I70" s="42" t="inlineStr">
        <is>
          <t>Other</t>
        </is>
      </c>
      <c r="J70" s="42" t="inlineStr"/>
      <c r="K70" s="42" t="inlineStr">
        <is>
          <t>Closed</t>
        </is>
      </c>
      <c r="L70" s="42" t="inlineStr">
        <is>
          <t>2026-04-21</t>
        </is>
      </c>
      <c r="M70" s="42" t="inlineStr">
        <is>
          <t>2026-04-30</t>
        </is>
      </c>
      <c r="N70" s="42" t="inlineStr">
        <is>
          <t>Nile Production Support</t>
        </is>
      </c>
      <c r="O70" s="42" t="inlineStr">
        <is>
          <t>Unassigned</t>
        </is>
      </c>
      <c r="P70" s="42" t="inlineStr">
        <is>
          <t>Nekkanti, Alekya</t>
        </is>
      </c>
      <c r="Q70" s="42" t="inlineStr">
        <is>
          <t>Resolved</t>
        </is>
      </c>
      <c r="R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42" t="inlineStr"/>
      <c r="T70" s="42" t="inlineStr"/>
      <c r="U70" s="42" t="inlineStr"/>
      <c r="V70" s="57" t="inlineStr">
        <is>
          <t>Spooler issue</t>
        </is>
      </c>
      <c r="W70" s="42" t="inlineStr"/>
    </row>
    <row r="71">
      <c r="A71" s="39" t="inlineStr">
        <is>
          <t>IT-3004238</t>
        </is>
      </c>
      <c r="B71" s="39" t="inlineStr">
        <is>
          <t>IT-3004238</t>
        </is>
      </c>
      <c r="C71" s="39" t="inlineStr"/>
      <c r="D71" s="40" t="inlineStr">
        <is>
          <t>Healthspring DM 5381 - Claim Date Spans Showing on All Lines in Detail Decipher Screens</t>
        </is>
      </c>
      <c r="E71" s="40"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40" t="inlineStr">
        <is>
          <t>we want to discuss about this ticket get more inputs from the user.</t>
        </is>
      </c>
      <c r="G71" s="40" t="inlineStr"/>
      <c r="H71" s="39" t="inlineStr">
        <is>
          <t>HC RCA PROD Support</t>
        </is>
      </c>
      <c r="I71" s="39" t="inlineStr">
        <is>
          <t>Other</t>
        </is>
      </c>
      <c r="J71" s="39" t="inlineStr"/>
      <c r="K71" s="39" t="inlineStr">
        <is>
          <t>On Hold</t>
        </is>
      </c>
      <c r="L71" s="39" t="inlineStr">
        <is>
          <t>2026-04-21</t>
        </is>
      </c>
      <c r="M71" s="39" t="inlineStr">
        <is>
          <t>2026-05-05</t>
        </is>
      </c>
      <c r="N71" s="39" t="inlineStr">
        <is>
          <t>Nile Production Support</t>
        </is>
      </c>
      <c r="O71" s="39" t="inlineStr">
        <is>
          <t>Unassigned</t>
        </is>
      </c>
      <c r="P71" s="39" t="inlineStr">
        <is>
          <t>Price, Ryon</t>
        </is>
      </c>
      <c r="Q71" s="39" t="inlineStr">
        <is>
          <t>Unresolved</t>
        </is>
      </c>
      <c r="R71" s="40" t="inlineStr">
        <is>
          <t>we want to discuss about this ticket get more inputs from the user.</t>
        </is>
      </c>
      <c r="S71" s="39" t="inlineStr"/>
      <c r="T71" s="39" t="inlineStr"/>
      <c r="U71" s="39" t="inlineStr"/>
      <c r="V71" s="47" t="inlineStr">
        <is>
          <t>Data Issue</t>
        </is>
      </c>
      <c r="W71" s="39" t="inlineStr"/>
    </row>
    <row r="72">
      <c r="A72" s="42" t="inlineStr">
        <is>
          <t>IT-3004202</t>
        </is>
      </c>
      <c r="B72" s="42" t="inlineStr">
        <is>
          <t>IT-3004202</t>
        </is>
      </c>
      <c r="C72" s="42" t="inlineStr"/>
      <c r="D72" s="43" t="inlineStr">
        <is>
          <t>bcbsnc_crosswalk spooler update</t>
        </is>
      </c>
      <c r="E72" s="43" t="inlineStr">
        <is>
          <t>update this spooler bcbsnc_crosswalk with wildcard. currently it is hardcoded CrosswalkNCProf_20260201_20260320.csv.pgp We have already received this month file CrosswalkNCProf_20260301_20260420.csv.pgp</t>
        </is>
      </c>
      <c r="F72" s="43" t="inlineStr"/>
      <c r="G72" s="43" t="inlineStr">
        <is>
          <t>Updated the spoolr. Corrected the file name pattern and tested if it will spool both prof and inst file</t>
        </is>
      </c>
      <c r="H72" s="42" t="inlineStr">
        <is>
          <t>Other</t>
        </is>
      </c>
      <c r="I72" s="42" t="inlineStr">
        <is>
          <t>Other</t>
        </is>
      </c>
      <c r="J72" s="42" t="inlineStr"/>
      <c r="K72" s="42" t="inlineStr">
        <is>
          <t>Closed</t>
        </is>
      </c>
      <c r="L72" s="42" t="inlineStr">
        <is>
          <t>2026-04-21</t>
        </is>
      </c>
      <c r="M72" s="42" t="inlineStr">
        <is>
          <t>2026-04-21</t>
        </is>
      </c>
      <c r="N72" s="42" t="inlineStr">
        <is>
          <t>Nile Production Support</t>
        </is>
      </c>
      <c r="O72" s="42" t="inlineStr">
        <is>
          <t>Unassigned</t>
        </is>
      </c>
      <c r="P72" s="42" t="inlineStr">
        <is>
          <t>Easley, Keaton</t>
        </is>
      </c>
      <c r="Q72" s="42" t="inlineStr">
        <is>
          <t>Resolved</t>
        </is>
      </c>
      <c r="R72" s="43" t="inlineStr"/>
      <c r="S72" s="42" t="inlineStr"/>
      <c r="T72" s="42" t="inlineStr"/>
      <c r="U72" s="42" t="inlineStr"/>
      <c r="V72" s="57" t="inlineStr">
        <is>
          <t>Spooler issue</t>
        </is>
      </c>
      <c r="W72" s="42" t="inlineStr"/>
    </row>
    <row r="73">
      <c r="A73" s="39" t="inlineStr">
        <is>
          <t>IT-3004125</t>
        </is>
      </c>
      <c r="B73" s="39" t="inlineStr">
        <is>
          <t>IT-3004125</t>
        </is>
      </c>
      <c r="C73" s="39" t="inlineStr"/>
      <c r="D73" s="40" t="inlineStr">
        <is>
          <t>Excellus CAQH: [20260417 - prod - dm-excellus-actian_migration_caqh] Please Hold until we receive missing files from week of 04/10</t>
        </is>
      </c>
      <c r="E73" s="40" t="inlineStr">
        <is>
          <t>Hello Team , Please hold pipeline [*prod - dm-excellus-actian_migration_caqh*] until we receive missing files from week of 04/10.</t>
        </is>
      </c>
      <c r="F73" s="40" t="inlineStr">
        <is>
          <t>Waiting on missing files</t>
        </is>
      </c>
      <c r="G73" s="40" t="inlineStr"/>
      <c r="H73" s="39" t="inlineStr">
        <is>
          <t>Other</t>
        </is>
      </c>
      <c r="I73" s="39" t="inlineStr">
        <is>
          <t>Other</t>
        </is>
      </c>
      <c r="J73" s="39" t="inlineStr"/>
      <c r="K73" s="39" t="inlineStr">
        <is>
          <t>On Hold</t>
        </is>
      </c>
      <c r="L73" s="39" t="inlineStr">
        <is>
          <t>2026-04-21</t>
        </is>
      </c>
      <c r="M73" s="39" t="inlineStr">
        <is>
          <t>2026-05-05</t>
        </is>
      </c>
      <c r="N73" s="39" t="inlineStr">
        <is>
          <t>Nile Production Support</t>
        </is>
      </c>
      <c r="O73" s="39" t="inlineStr">
        <is>
          <t>Unassigned</t>
        </is>
      </c>
      <c r="P73" s="39" t="inlineStr">
        <is>
          <t>Hirpara, Meera</t>
        </is>
      </c>
      <c r="Q73" s="39" t="inlineStr">
        <is>
          <t>Unresolved</t>
        </is>
      </c>
      <c r="R73" s="40" t="inlineStr">
        <is>
          <t>Waiting on missing files</t>
        </is>
      </c>
      <c r="S73" s="39" t="inlineStr"/>
      <c r="T73" s="39" t="inlineStr"/>
      <c r="U73" s="39" t="inlineStr"/>
      <c r="V73" s="55" t="inlineStr">
        <is>
          <t>File Missing</t>
        </is>
      </c>
      <c r="W73" s="39" t="inlineStr"/>
    </row>
    <row r="74">
      <c r="A74" s="42" t="inlineStr">
        <is>
          <t>IT-3004101</t>
        </is>
      </c>
      <c r="B74" s="42" t="inlineStr">
        <is>
          <t>IT-3004101</t>
        </is>
      </c>
      <c r="C74" s="42" t="inlineStr"/>
      <c r="D74" s="43" t="inlineStr">
        <is>
          <t>Error when running Humana BMC pipeline: trigger_bmc_workflow_CHC_HUMANA_MTH_DATALOADMEMBER_NILE_monthly</t>
        </is>
      </c>
      <c r="E74" s="43" t="inlineStr">
        <is>
          <t>Hi Nile PS Triage Team, When I press the execute button for the pipeline above, it immediately throws an error (snapshot). Would you mind taking a look? Thank you melly</t>
        </is>
      </c>
      <c r="F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3" t="inlineStr">
        <is>
          <t>Pipeline processed successfully.</t>
        </is>
      </c>
      <c r="H74" s="42" t="inlineStr">
        <is>
          <t>Other</t>
        </is>
      </c>
      <c r="I74" s="42" t="inlineStr">
        <is>
          <t>Other</t>
        </is>
      </c>
      <c r="J74" s="42" t="inlineStr"/>
      <c r="K74" s="42" t="inlineStr">
        <is>
          <t>Closed</t>
        </is>
      </c>
      <c r="L74" s="42" t="inlineStr">
        <is>
          <t>2026-04-21</t>
        </is>
      </c>
      <c r="M74" s="42" t="inlineStr">
        <is>
          <t>2026-04-22</t>
        </is>
      </c>
      <c r="N74" s="42" t="inlineStr">
        <is>
          <t>Nile Production Support</t>
        </is>
      </c>
      <c r="O74" s="42" t="inlineStr">
        <is>
          <t>Unassigned</t>
        </is>
      </c>
      <c r="P74" s="42" t="inlineStr">
        <is>
          <t>Suryani, Melly</t>
        </is>
      </c>
      <c r="Q74" s="42" t="inlineStr">
        <is>
          <t>Resolved</t>
        </is>
      </c>
      <c r="R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42" t="inlineStr"/>
      <c r="T74" s="42" t="inlineStr"/>
      <c r="U74" s="42" t="inlineStr"/>
      <c r="V74" s="50" t="inlineStr">
        <is>
          <t>Other</t>
        </is>
      </c>
      <c r="W74" s="42" t="inlineStr">
        <is>
          <t>Yes</t>
        </is>
      </c>
    </row>
    <row r="75">
      <c r="A75" s="39" t="inlineStr">
        <is>
          <t>IT-3003713</t>
        </is>
      </c>
      <c r="B75" s="39" t="inlineStr">
        <is>
          <t>IT-3003713</t>
        </is>
      </c>
      <c r="C75" s="39" t="inlineStr"/>
      <c r="D75" s="40" t="inlineStr">
        <is>
          <t>Update Production spooler late cron check</t>
        </is>
      </c>
      <c r="E75" s="40" t="inlineStr">
        <is>
          <t>Hi Team, Could you please update the notouch spooler in production for Wellcare with value - 0 14 * * TUE Spooler name - Wellcare-Wellcare_Actian_PBM_MTH_notouch Thanks, Shilpa Anna</t>
        </is>
      </c>
      <c r="F75" s="40" t="inlineStr">
        <is>
          <t>late cron has been updated Will close once demo is done</t>
        </is>
      </c>
      <c r="G75" s="40" t="inlineStr">
        <is>
          <t>Edited schedule and late cron for this spooler</t>
        </is>
      </c>
      <c r="H75" s="39" t="inlineStr">
        <is>
          <t>Other</t>
        </is>
      </c>
      <c r="I75" s="39" t="inlineStr">
        <is>
          <t>Other</t>
        </is>
      </c>
      <c r="J75" s="39" t="inlineStr"/>
      <c r="K75" s="39" t="inlineStr">
        <is>
          <t>Closed</t>
        </is>
      </c>
      <c r="L75" s="39" t="inlineStr">
        <is>
          <t>2026-04-21</t>
        </is>
      </c>
      <c r="M75" s="39" t="inlineStr">
        <is>
          <t>2026-04-23</t>
        </is>
      </c>
      <c r="N75" s="39" t="inlineStr">
        <is>
          <t>Nile Production Support</t>
        </is>
      </c>
      <c r="O75" s="39" t="inlineStr">
        <is>
          <t>Unassigned</t>
        </is>
      </c>
      <c r="P75" s="39" t="inlineStr">
        <is>
          <t>Varghese, Shilpa Anna</t>
        </is>
      </c>
      <c r="Q75" s="39" t="inlineStr">
        <is>
          <t>Resolved</t>
        </is>
      </c>
      <c r="R75" s="40" t="inlineStr">
        <is>
          <t>late cron has been updated Will close once demo is done</t>
        </is>
      </c>
      <c r="S75" s="39" t="inlineStr"/>
      <c r="T75" s="39" t="inlineStr"/>
      <c r="U75" s="39" t="inlineStr"/>
      <c r="V75" s="53" t="inlineStr">
        <is>
          <t>Spooler issue</t>
        </is>
      </c>
      <c r="W75" s="39" t="inlineStr"/>
    </row>
    <row r="76">
      <c r="A76" s="42" t="inlineStr">
        <is>
          <t>IT-3003394</t>
        </is>
      </c>
      <c r="B76" s="42" t="inlineStr">
        <is>
          <t>IT-3003394</t>
        </is>
      </c>
      <c r="C76" s="42" t="inlineStr"/>
      <c r="D76" s="43" t="inlineStr">
        <is>
          <t>Medical Codes Library Document Submission</t>
        </is>
      </c>
      <c r="E76" s="43" t="inlineStr">
        <is>
          <t>Please add the attached table (DX Code Laterality Table) to the Medical Codes Library (MCL). Table is needed for Spotcheck content logic.</t>
        </is>
      </c>
      <c r="F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3" t="inlineStr">
        <is>
          <t>All the required configurations are completed and tested in dev environment. Mike validated and confirmed to close the ticket. Migrated all the configs to production.</t>
        </is>
      </c>
      <c r="H76" s="42" t="inlineStr">
        <is>
          <t>Other</t>
        </is>
      </c>
      <c r="I76" s="42" t="inlineStr">
        <is>
          <t>Other</t>
        </is>
      </c>
      <c r="J76" s="42" t="inlineStr"/>
      <c r="K76" s="42" t="inlineStr">
        <is>
          <t>Closed</t>
        </is>
      </c>
      <c r="L76" s="42" t="inlineStr">
        <is>
          <t>2026-04-21</t>
        </is>
      </c>
      <c r="M76" s="42" t="inlineStr">
        <is>
          <t>2026-04-29</t>
        </is>
      </c>
      <c r="N76" s="42" t="inlineStr">
        <is>
          <t>Nile Production Support</t>
        </is>
      </c>
      <c r="O76" s="42" t="inlineStr">
        <is>
          <t>Unassigned</t>
        </is>
      </c>
      <c r="P76" s="42" t="inlineStr">
        <is>
          <t>Pineo, Rob</t>
        </is>
      </c>
      <c r="Q76" s="42" t="inlineStr">
        <is>
          <t>Resolved</t>
        </is>
      </c>
      <c r="R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42" t="inlineStr"/>
      <c r="T76" s="42" t="inlineStr"/>
      <c r="U76" s="42" t="inlineStr"/>
      <c r="V76" s="50" t="inlineStr">
        <is>
          <t>Other</t>
        </is>
      </c>
      <c r="W76" s="42" t="inlineStr">
        <is>
          <t>Yes</t>
        </is>
      </c>
    </row>
    <row r="77">
      <c r="A77" s="39" t="inlineStr">
        <is>
          <t>IT-3002800</t>
        </is>
      </c>
      <c r="B77" s="39" t="inlineStr">
        <is>
          <t>IT-3002800</t>
        </is>
      </c>
      <c r="C77" s="39" t="inlineStr"/>
      <c r="D77" s="40" t="inlineStr">
        <is>
          <t>prebc_history both inst &amp; prof failed for data date 04/06</t>
        </is>
      </c>
      <c r="E77" s="40"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40" t="inlineStr">
        <is>
          <t>Files ingestion is failing due to required missing header/trailer records. Please ask for replacement files.</t>
        </is>
      </c>
      <c r="H77" s="39" t="inlineStr">
        <is>
          <t>Other</t>
        </is>
      </c>
      <c r="I77" s="39" t="inlineStr">
        <is>
          <t>Other</t>
        </is>
      </c>
      <c r="J77" s="39" t="inlineStr"/>
      <c r="K77" s="39" t="inlineStr">
        <is>
          <t>Closed</t>
        </is>
      </c>
      <c r="L77" s="39" t="inlineStr">
        <is>
          <t>2026-04-21</t>
        </is>
      </c>
      <c r="M77" s="39" t="inlineStr">
        <is>
          <t>2026-04-23</t>
        </is>
      </c>
      <c r="N77" s="39" t="inlineStr">
        <is>
          <t>Nile Production Support</t>
        </is>
      </c>
      <c r="O77" s="39" t="inlineStr">
        <is>
          <t>Unassigned</t>
        </is>
      </c>
      <c r="P77" s="39" t="inlineStr">
        <is>
          <t>Raya, Birajan</t>
        </is>
      </c>
      <c r="Q77" s="39" t="inlineStr">
        <is>
          <t>Resolved</t>
        </is>
      </c>
      <c r="R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9" t="inlineStr"/>
      <c r="T77" s="39" t="inlineStr"/>
      <c r="U77" s="39" t="inlineStr"/>
      <c r="V77" s="53" t="inlineStr">
        <is>
          <t>Spooler issue</t>
        </is>
      </c>
      <c r="W77" s="39" t="inlineStr"/>
    </row>
    <row r="78">
      <c r="A78" s="42" t="inlineStr">
        <is>
          <t>IT-3002556</t>
        </is>
      </c>
      <c r="B78" s="42" t="inlineStr">
        <is>
          <t>IT-3002556</t>
        </is>
      </c>
      <c r="C78" s="42" t="inlineStr"/>
      <c r="D78" s="43" t="inlineStr">
        <is>
          <t>Pipeline bcbsnjhorizon_facets_no_touch not picking up spooled files – File does not exist error</t>
        </is>
      </c>
      <c r="E78" s="43"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3" t="inlineStr">
        <is>
          <t>we fixed the issue and successfully processed the pipeline for 20260417 data date. we fixed the issue and processed the pipeline.</t>
        </is>
      </c>
      <c r="G78" s="43" t="inlineStr">
        <is>
          <t>we fixed the issue and processed the pipeline.</t>
        </is>
      </c>
      <c r="H78" s="42" t="inlineStr">
        <is>
          <t>Other</t>
        </is>
      </c>
      <c r="I78" s="42" t="inlineStr">
        <is>
          <t>Other</t>
        </is>
      </c>
      <c r="J78" s="42" t="inlineStr"/>
      <c r="K78" s="42" t="inlineStr">
        <is>
          <t>Closed</t>
        </is>
      </c>
      <c r="L78" s="42" t="inlineStr">
        <is>
          <t>2026-04-21</t>
        </is>
      </c>
      <c r="M78" s="42" t="inlineStr">
        <is>
          <t>2026-04-24</t>
        </is>
      </c>
      <c r="N78" s="42" t="inlineStr">
        <is>
          <t>Nile Production Support</t>
        </is>
      </c>
      <c r="O78" s="42" t="inlineStr">
        <is>
          <t>Unassigned</t>
        </is>
      </c>
      <c r="P78" s="42" t="inlineStr">
        <is>
          <t>Raya, Birajan</t>
        </is>
      </c>
      <c r="Q78" s="42" t="inlineStr">
        <is>
          <t>Resolved</t>
        </is>
      </c>
      <c r="R78" s="43" t="inlineStr">
        <is>
          <t>we fixed the issue and successfully processed the pipeline for 20260417 data date. we fixed the issue and processed the pipeline.</t>
        </is>
      </c>
      <c r="S78" s="42" t="inlineStr"/>
      <c r="T78" s="42" t="inlineStr"/>
      <c r="U78" s="42" t="inlineStr"/>
      <c r="V78" s="57" t="inlineStr">
        <is>
          <t>Spooler issue</t>
        </is>
      </c>
      <c r="W78" s="42" t="inlineStr"/>
    </row>
    <row r="79">
      <c r="A79" s="39" t="inlineStr">
        <is>
          <t>IT-3002267</t>
        </is>
      </c>
      <c r="B79" s="39" t="inlineStr">
        <is>
          <t>IT-3002267</t>
        </is>
      </c>
      <c r="C79" s="39" t="inlineStr"/>
      <c r="D79" s="40" t="inlineStr">
        <is>
          <t>[Aetna-Trad-SCM]-Update prechecks for BMC and publish all the child pipelines.</t>
        </is>
      </c>
      <c r="E79" s="40" t="inlineStr">
        <is>
          <t>Update precheck with pipeline version as latest and remove all the unnecessary parameters from the pipeline. Publish all the child pipelines and modify subscribe BMC pipeline versions to latest.</t>
        </is>
      </c>
      <c r="F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40" t="inlineStr">
        <is>
          <t>BMC Pipeline prechecks conditions for pipeline version is updated to latest. Published and scheduled the latest BMC version pipeline. FYI: trigger_bmc_workflow_CHC_AETNA_WKY_SCM_NILE Version: V1.3</t>
        </is>
      </c>
      <c r="H79" s="39" t="inlineStr">
        <is>
          <t>Other</t>
        </is>
      </c>
      <c r="I79" s="39" t="inlineStr">
        <is>
          <t>Other</t>
        </is>
      </c>
      <c r="J79" s="39" t="inlineStr"/>
      <c r="K79" s="39" t="inlineStr">
        <is>
          <t>Closed</t>
        </is>
      </c>
      <c r="L79" s="39" t="inlineStr">
        <is>
          <t>2026-04-20</t>
        </is>
      </c>
      <c r="M79" s="39" t="inlineStr">
        <is>
          <t>2026-04-29</t>
        </is>
      </c>
      <c r="N79" s="39" t="inlineStr">
        <is>
          <t>Nile Production Support</t>
        </is>
      </c>
      <c r="O79" s="39" t="inlineStr">
        <is>
          <t>Unassigned</t>
        </is>
      </c>
      <c r="P79" s="39" t="inlineStr">
        <is>
          <t>Kamsetty, Sravani</t>
        </is>
      </c>
      <c r="Q79" s="39" t="inlineStr">
        <is>
          <t>Resolved</t>
        </is>
      </c>
      <c r="R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9" t="inlineStr"/>
      <c r="T79" s="39" t="inlineStr"/>
      <c r="U79" s="39" t="inlineStr"/>
      <c r="V79" s="51" t="inlineStr">
        <is>
          <t>Other</t>
        </is>
      </c>
      <c r="W79" s="39" t="inlineStr">
        <is>
          <t>Yes</t>
        </is>
      </c>
    </row>
    <row r="80">
      <c r="A80" s="42" t="inlineStr">
        <is>
          <t>IT-3002260</t>
        </is>
      </c>
      <c r="B80" s="42" t="inlineStr">
        <is>
          <t>IT-3002260</t>
        </is>
      </c>
      <c r="C80" s="42" t="inlineStr"/>
      <c r="D80" s="43" t="inlineStr">
        <is>
          <t>dm-bcbs_ma-actian_migration_caqh Pipeline Failed – Mandatory Files Not Recognized</t>
        </is>
      </c>
      <c r="E80" s="43"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3" t="inlineStr">
        <is>
          <t>Filename pattern changed from CAQH file.* to CAQH File.* Ran the pipeline using override parameters and completed successfully.</t>
        </is>
      </c>
      <c r="G80" s="43" t="inlineStr">
        <is>
          <t>Filename pattern changed from CAQH file.* to CAQH File.* Ran the pipeline using override parameters and completed successfully.</t>
        </is>
      </c>
      <c r="H80" s="42" t="inlineStr">
        <is>
          <t>Other</t>
        </is>
      </c>
      <c r="I80" s="42" t="inlineStr">
        <is>
          <t>Other</t>
        </is>
      </c>
      <c r="J80" s="42" t="inlineStr"/>
      <c r="K80" s="42" t="inlineStr">
        <is>
          <t>Closed</t>
        </is>
      </c>
      <c r="L80" s="42" t="inlineStr">
        <is>
          <t>2026-04-20</t>
        </is>
      </c>
      <c r="M80" s="42" t="inlineStr">
        <is>
          <t>2026-04-21</t>
        </is>
      </c>
      <c r="N80" s="42" t="inlineStr">
        <is>
          <t>Nile Production Support</t>
        </is>
      </c>
      <c r="O80" s="42" t="inlineStr">
        <is>
          <t>Unassigned</t>
        </is>
      </c>
      <c r="P80" s="42" t="inlineStr">
        <is>
          <t>Raya, Birajan</t>
        </is>
      </c>
      <c r="Q80" s="42" t="inlineStr">
        <is>
          <t>Resolved</t>
        </is>
      </c>
      <c r="R80" s="43" t="inlineStr">
        <is>
          <t>Filename pattern changed from CAQH file.* to CAQH File.* Ran the pipeline using override parameters and completed successfully.</t>
        </is>
      </c>
      <c r="S80" s="42" t="inlineStr"/>
      <c r="T80" s="42" t="inlineStr"/>
      <c r="U80" s="42" t="inlineStr"/>
      <c r="V80" s="48" t="inlineStr">
        <is>
          <t>Pipeline Schedule</t>
        </is>
      </c>
      <c r="W80" s="42" t="inlineStr"/>
    </row>
    <row r="81">
      <c r="A81" s="39" t="inlineStr">
        <is>
          <t>IT-3001908</t>
        </is>
      </c>
      <c r="B81" s="39" t="inlineStr">
        <is>
          <t>IT-3001908</t>
        </is>
      </c>
      <c r="C81" s="39" t="inlineStr"/>
      <c r="D81" s="40" t="inlineStr">
        <is>
          <t>BCBS_AL COMM - Suspend Pharmacy pipeline</t>
        </is>
      </c>
      <c r="E81" s="40" t="inlineStr">
        <is>
          <t>Hello, Please shut down BCBS_AL COMM Pharmacy pipeline: prod - dm-bcbsalcomm-custom-actian_migration_pharmacy Because the client will no longer be sending this file. Thank you</t>
        </is>
      </c>
      <c r="F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40" t="inlineStr">
        <is>
          <t>dm-bcbsalcomm-custom-actian_migration_pharmacy pipelines have been suspended and the rest of the files have been ingested.</t>
        </is>
      </c>
      <c r="H81" s="39" t="inlineStr">
        <is>
          <t>Other</t>
        </is>
      </c>
      <c r="I81" s="39" t="inlineStr">
        <is>
          <t>Other</t>
        </is>
      </c>
      <c r="J81" s="39" t="inlineStr"/>
      <c r="K81" s="39" t="inlineStr">
        <is>
          <t>Closed</t>
        </is>
      </c>
      <c r="L81" s="39" t="inlineStr">
        <is>
          <t>2026-04-20</t>
        </is>
      </c>
      <c r="M81" s="39" t="inlineStr">
        <is>
          <t>2026-04-21</t>
        </is>
      </c>
      <c r="N81" s="39" t="inlineStr">
        <is>
          <t>Nile Production Support</t>
        </is>
      </c>
      <c r="O81" s="39" t="inlineStr">
        <is>
          <t>Unassigned</t>
        </is>
      </c>
      <c r="P81" s="39" t="inlineStr">
        <is>
          <t>Shrestha, Sajjan</t>
        </is>
      </c>
      <c r="Q81" s="39" t="inlineStr">
        <is>
          <t>Resolved</t>
        </is>
      </c>
      <c r="R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9" t="inlineStr"/>
      <c r="T81" s="39" t="inlineStr"/>
      <c r="U81" s="39" t="inlineStr"/>
      <c r="V81" s="51" t="inlineStr">
        <is>
          <t>Other</t>
        </is>
      </c>
      <c r="W81" s="39" t="inlineStr">
        <is>
          <t>Yes</t>
        </is>
      </c>
    </row>
    <row r="82">
      <c r="A82" s="42" t="inlineStr">
        <is>
          <t>IT-3001338</t>
        </is>
      </c>
      <c r="B82" s="42" t="inlineStr">
        <is>
          <t>IT-3001338</t>
        </is>
      </c>
      <c r="C82" s="42" t="inlineStr"/>
      <c r="D82" s="43" t="inlineStr">
        <is>
          <t>Copy files From Nile Prod Raw path to Nile QC Raw path - UHC-CSP</t>
        </is>
      </c>
      <c r="E82" s="43"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3" t="inlineStr">
        <is>
          <t>Hi Pati, Jagadeesh Chandra Files copied please verify</t>
        </is>
      </c>
      <c r="G82" s="43" t="inlineStr">
        <is>
          <t>Files Copied</t>
        </is>
      </c>
      <c r="H82" s="42" t="inlineStr">
        <is>
          <t>Other</t>
        </is>
      </c>
      <c r="I82" s="42" t="inlineStr">
        <is>
          <t>Other</t>
        </is>
      </c>
      <c r="J82" s="42" t="inlineStr"/>
      <c r="K82" s="42" t="inlineStr">
        <is>
          <t>Closed</t>
        </is>
      </c>
      <c r="L82" s="42" t="inlineStr">
        <is>
          <t>2026-04-20</t>
        </is>
      </c>
      <c r="M82" s="42" t="inlineStr">
        <is>
          <t>2026-04-20</t>
        </is>
      </c>
      <c r="N82" s="42" t="inlineStr">
        <is>
          <t>Nile Production Support</t>
        </is>
      </c>
      <c r="O82" s="42" t="inlineStr">
        <is>
          <t>Unassigned</t>
        </is>
      </c>
      <c r="P82" s="42" t="inlineStr">
        <is>
          <t>Pati, Jagadeesh Chandra</t>
        </is>
      </c>
      <c r="Q82" s="42" t="inlineStr">
        <is>
          <t>Resolved</t>
        </is>
      </c>
      <c r="R82" s="43" t="inlineStr">
        <is>
          <t>Hi Pati, Jagadeesh Chandra Files copied please verify</t>
        </is>
      </c>
      <c r="S82" s="42" t="inlineStr"/>
      <c r="T82" s="42" t="inlineStr"/>
      <c r="U82" s="42" t="inlineStr"/>
      <c r="V82" s="50" t="inlineStr">
        <is>
          <t>Other</t>
        </is>
      </c>
      <c r="W82" s="42" t="inlineStr">
        <is>
          <t>Yes</t>
        </is>
      </c>
    </row>
    <row r="83">
      <c r="A83" s="39" t="inlineStr">
        <is>
          <t>IT-3001212</t>
        </is>
      </c>
      <c r="B83" s="39" t="inlineStr">
        <is>
          <t>IT-3001212</t>
        </is>
      </c>
      <c r="C83" s="39" t="inlineStr"/>
      <c r="D83" s="40" t="inlineStr">
        <is>
          <t>Copy files From Nile Prod Raw path to Nile QC Raw path - Aetna Trad</t>
        </is>
      </c>
      <c r="E83" s="40"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40" t="inlineStr">
        <is>
          <t>Hi Shivalingu, Naveen Files copied please verify Thanks Satish Devatha</t>
        </is>
      </c>
      <c r="G83" s="40" t="inlineStr">
        <is>
          <t>Files Copied</t>
        </is>
      </c>
      <c r="H83" s="39" t="inlineStr">
        <is>
          <t>Other</t>
        </is>
      </c>
      <c r="I83" s="39" t="inlineStr">
        <is>
          <t>Other</t>
        </is>
      </c>
      <c r="J83" s="39" t="inlineStr"/>
      <c r="K83" s="39" t="inlineStr">
        <is>
          <t>Closed</t>
        </is>
      </c>
      <c r="L83" s="39" t="inlineStr">
        <is>
          <t>2026-04-20</t>
        </is>
      </c>
      <c r="M83" s="39" t="inlineStr">
        <is>
          <t>2026-04-20</t>
        </is>
      </c>
      <c r="N83" s="39" t="inlineStr">
        <is>
          <t>Nile Production Support</t>
        </is>
      </c>
      <c r="O83" s="39" t="inlineStr">
        <is>
          <t>Unassigned</t>
        </is>
      </c>
      <c r="P83" s="39" t="inlineStr">
        <is>
          <t>Shivalingu, Naveen</t>
        </is>
      </c>
      <c r="Q83" s="39" t="inlineStr">
        <is>
          <t>Resolved</t>
        </is>
      </c>
      <c r="R83" s="40" t="inlineStr">
        <is>
          <t>Hi Shivalingu, Naveen Files copied please verify Thanks Satish Devatha</t>
        </is>
      </c>
      <c r="S83" s="39" t="inlineStr"/>
      <c r="T83" s="39" t="inlineStr"/>
      <c r="U83" s="39" t="inlineStr"/>
      <c r="V83" s="51" t="inlineStr">
        <is>
          <t>Other</t>
        </is>
      </c>
      <c r="W83" s="39" t="inlineStr">
        <is>
          <t>Yes</t>
        </is>
      </c>
    </row>
    <row r="84">
      <c r="A84" s="42" t="inlineStr">
        <is>
          <t>IT-3001086</t>
        </is>
      </c>
      <c r="B84" s="42" t="inlineStr">
        <is>
          <t>IT-3001086</t>
        </is>
      </c>
      <c r="C84" s="42" t="inlineStr"/>
      <c r="D84" s="43" t="inlineStr">
        <is>
          <t>Subject: OSCAR no claim volume Importance: High</t>
        </is>
      </c>
      <c r="E84" s="43"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3" t="inlineStr">
        <is>
          <t>I realized this was on the client side and shouldnt have created the ticket</t>
        </is>
      </c>
      <c r="G84" s="43" t="inlineStr"/>
      <c r="H84" s="42" t="inlineStr">
        <is>
          <t>Other</t>
        </is>
      </c>
      <c r="I84" s="42" t="inlineStr">
        <is>
          <t>Other</t>
        </is>
      </c>
      <c r="J84" s="42" t="inlineStr"/>
      <c r="K84" s="42" t="inlineStr">
        <is>
          <t>Cancelled</t>
        </is>
      </c>
      <c r="L84" s="42" t="inlineStr">
        <is>
          <t>2026-04-20</t>
        </is>
      </c>
      <c r="M84" s="42" t="inlineStr">
        <is>
          <t>2026-04-22</t>
        </is>
      </c>
      <c r="N84" s="42" t="inlineStr">
        <is>
          <t>Nile Production Support</t>
        </is>
      </c>
      <c r="O84" s="42" t="inlineStr">
        <is>
          <t>Unassigned</t>
        </is>
      </c>
      <c r="P84" s="42" t="inlineStr">
        <is>
          <t>Briguglio, Katrina</t>
        </is>
      </c>
      <c r="Q84" s="42" t="inlineStr">
        <is>
          <t>Cancelled</t>
        </is>
      </c>
      <c r="R84" s="43" t="inlineStr">
        <is>
          <t>I realized this was on the client side and shouldnt have created the ticket</t>
        </is>
      </c>
      <c r="S84" s="42" t="inlineStr"/>
      <c r="T84" s="42" t="inlineStr"/>
      <c r="U84" s="42" t="inlineStr"/>
      <c r="V84" s="59" t="inlineStr">
        <is>
          <t>Metric drop</t>
        </is>
      </c>
      <c r="W84" s="42" t="inlineStr"/>
    </row>
    <row r="85">
      <c r="A85" s="39" t="inlineStr">
        <is>
          <t>IT-3000667</t>
        </is>
      </c>
      <c r="B85" s="39" t="inlineStr">
        <is>
          <t>IT-3000667</t>
        </is>
      </c>
      <c r="C85" s="39" t="inlineStr"/>
      <c r="D85" s="40" t="inlineStr">
        <is>
          <t>Humana claims file not ingested</t>
        </is>
      </c>
      <c r="E85" s="40" t="inlineStr">
        <is>
          <t>Hello, Humana claims file is not ingested. File have arrived on their website. Please check. Thank you</t>
        </is>
      </c>
      <c r="F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40" t="inlineStr">
        <is>
          <t>pipeline completed</t>
        </is>
      </c>
      <c r="H85" s="39" t="inlineStr">
        <is>
          <t>Other</t>
        </is>
      </c>
      <c r="I85" s="39" t="inlineStr">
        <is>
          <t>Other</t>
        </is>
      </c>
      <c r="J85" s="39" t="inlineStr"/>
      <c r="K85" s="39" t="inlineStr">
        <is>
          <t>Closed</t>
        </is>
      </c>
      <c r="L85" s="39" t="inlineStr">
        <is>
          <t>2026-04-20</t>
        </is>
      </c>
      <c r="M85" s="39" t="inlineStr">
        <is>
          <t>2026-04-20</t>
        </is>
      </c>
      <c r="N85" s="39" t="inlineStr">
        <is>
          <t>Nile Production Support</t>
        </is>
      </c>
      <c r="O85" s="39" t="inlineStr">
        <is>
          <t>Unassigned</t>
        </is>
      </c>
      <c r="P85" s="39" t="inlineStr">
        <is>
          <t>Shrestha, Sajjan</t>
        </is>
      </c>
      <c r="Q85" s="39" t="inlineStr">
        <is>
          <t>Resolved</t>
        </is>
      </c>
      <c r="R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9" t="inlineStr"/>
      <c r="T85" s="39" t="inlineStr"/>
      <c r="U85" s="39" t="inlineStr"/>
      <c r="V85" s="49" t="inlineStr">
        <is>
          <t>File Issue</t>
        </is>
      </c>
      <c r="W85" s="39" t="inlineStr"/>
    </row>
    <row r="86">
      <c r="A86" s="42" t="inlineStr">
        <is>
          <t>IT-2999879</t>
        </is>
      </c>
      <c r="B86" s="42" t="inlineStr">
        <is>
          <t>IT-2999879</t>
        </is>
      </c>
      <c r="C86" s="42" t="inlineStr"/>
      <c r="D86" s="43" t="inlineStr">
        <is>
          <t>Peer review for BMC workflow pipelines</t>
        </is>
      </c>
      <c r="E86" s="43" t="inlineStr">
        <is>
          <t>The above pipelines need to be verified.</t>
        </is>
      </c>
      <c r="F86" s="43" t="inlineStr">
        <is>
          <t>I have to check this ticket now. I have reviewed the bmc pipelines.</t>
        </is>
      </c>
      <c r="G86" s="43" t="inlineStr">
        <is>
          <t>I have reviewed the bmc pipelines.</t>
        </is>
      </c>
      <c r="H86" s="42" t="inlineStr">
        <is>
          <t>Other</t>
        </is>
      </c>
      <c r="I86" s="42" t="inlineStr">
        <is>
          <t>Other</t>
        </is>
      </c>
      <c r="J86" s="42" t="inlineStr"/>
      <c r="K86" s="42" t="inlineStr">
        <is>
          <t>Closed</t>
        </is>
      </c>
      <c r="L86" s="42" t="inlineStr">
        <is>
          <t>2026-04-20</t>
        </is>
      </c>
      <c r="M86" s="42" t="inlineStr">
        <is>
          <t>2026-04-24</t>
        </is>
      </c>
      <c r="N86" s="42" t="inlineStr">
        <is>
          <t>Nile Production Support</t>
        </is>
      </c>
      <c r="O86" s="42" t="inlineStr">
        <is>
          <t>Unassigned</t>
        </is>
      </c>
      <c r="P86" s="42" t="inlineStr">
        <is>
          <t>Karakavalasa, SriVarshini</t>
        </is>
      </c>
      <c r="Q86" s="42" t="inlineStr">
        <is>
          <t>Done</t>
        </is>
      </c>
      <c r="R86" s="43" t="inlineStr">
        <is>
          <t>I have to check this ticket now. I have reviewed the bmc pipelines.</t>
        </is>
      </c>
      <c r="S86" s="42" t="inlineStr"/>
      <c r="T86" s="42" t="inlineStr"/>
      <c r="U86" s="42" t="inlineStr"/>
      <c r="V86" s="50" t="inlineStr">
        <is>
          <t>Other</t>
        </is>
      </c>
      <c r="W86" s="42" t="inlineStr">
        <is>
          <t>Yes</t>
        </is>
      </c>
    </row>
    <row r="87">
      <c r="A87" s="39" t="inlineStr">
        <is>
          <t>IT-2999839</t>
        </is>
      </c>
      <c r="B87" s="39" t="inlineStr">
        <is>
          <t>IT-2999839</t>
        </is>
      </c>
      <c r="C87" s="39" t="inlineStr"/>
      <c r="D87" s="40" t="inlineStr">
        <is>
          <t>Updating the pre-checks for the BMC workflow pipelines.</t>
        </is>
      </c>
      <c r="E87" s="40" t="inlineStr">
        <is>
          <t>Updating the pre-checks to use the pipeline version as “Latest” instead of specific versions. This ensures that any pipelines with modifications and newly published versions will automatically be picked up and considered in the workflow going forward.</t>
        </is>
      </c>
      <c r="F87" s="40" t="inlineStr"/>
      <c r="G87" s="40" t="inlineStr">
        <is>
          <t>Updated all prechecks to the **Latest** version for the pipelines, published them, verified that all respective child pipelines are published, and proceeded with scheduling.</t>
        </is>
      </c>
      <c r="H87" s="39" t="inlineStr">
        <is>
          <t>Other</t>
        </is>
      </c>
      <c r="I87" s="39" t="inlineStr">
        <is>
          <t>Other</t>
        </is>
      </c>
      <c r="J87" s="39" t="inlineStr"/>
      <c r="K87" s="39" t="inlineStr">
        <is>
          <t>Closed</t>
        </is>
      </c>
      <c r="L87" s="39" t="inlineStr">
        <is>
          <t>2026-04-20</t>
        </is>
      </c>
      <c r="M87" s="39" t="inlineStr">
        <is>
          <t>2026-04-24</t>
        </is>
      </c>
      <c r="N87" s="39" t="inlineStr">
        <is>
          <t>Nile Production Support</t>
        </is>
      </c>
      <c r="O87" s="39" t="inlineStr">
        <is>
          <t>Unassigned</t>
        </is>
      </c>
      <c r="P87" s="39" t="inlineStr">
        <is>
          <t>Karakavalasa, SriVarshini</t>
        </is>
      </c>
      <c r="Q87" s="39" t="inlineStr">
        <is>
          <t>Resolved</t>
        </is>
      </c>
      <c r="R87" s="40" t="inlineStr"/>
      <c r="S87" s="39" t="inlineStr"/>
      <c r="T87" s="39" t="inlineStr"/>
      <c r="U87" s="39" t="inlineStr"/>
      <c r="V87" s="51" t="inlineStr">
        <is>
          <t>Other</t>
        </is>
      </c>
      <c r="W87" s="39" t="inlineStr">
        <is>
          <t>Yes</t>
        </is>
      </c>
    </row>
    <row r="88">
      <c r="A88" s="42" t="inlineStr">
        <is>
          <t>IT-2999831</t>
        </is>
      </c>
      <c r="B88" s="42" t="inlineStr">
        <is>
          <t>IT-2999831</t>
        </is>
      </c>
      <c r="C88" s="42" t="inlineStr"/>
      <c r="D88" s="43" t="inlineStr">
        <is>
          <t>Premera OLA Configuration Update</t>
        </is>
      </c>
      <c r="E88" s="43" t="inlineStr">
        <is>
          <t>Update Premera OLA Configuration setup in ProdOps to avoid unnecessary pipeline status in monitoring tab.</t>
        </is>
      </c>
      <c r="F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3" t="inlineStr"/>
      <c r="H88" s="42" t="inlineStr">
        <is>
          <t>Other</t>
        </is>
      </c>
      <c r="I88" s="42" t="inlineStr">
        <is>
          <t>Other</t>
        </is>
      </c>
      <c r="J88" s="42" t="inlineStr"/>
      <c r="K88" s="42" t="inlineStr">
        <is>
          <t>On Hold</t>
        </is>
      </c>
      <c r="L88" s="42" t="inlineStr">
        <is>
          <t>2026-04-20</t>
        </is>
      </c>
      <c r="M88" s="42" t="inlineStr">
        <is>
          <t>2026-05-05</t>
        </is>
      </c>
      <c r="N88" s="42" t="inlineStr">
        <is>
          <t>Nile Production Support</t>
        </is>
      </c>
      <c r="O88" s="42" t="inlineStr">
        <is>
          <t>Unassigned</t>
        </is>
      </c>
      <c r="P88" s="42" t="inlineStr">
        <is>
          <t>Kamsetty, Sravani</t>
        </is>
      </c>
      <c r="Q88" s="42" t="inlineStr">
        <is>
          <t>Unresolved</t>
        </is>
      </c>
      <c r="R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42" t="inlineStr"/>
      <c r="T88" s="42" t="inlineStr"/>
      <c r="U88" s="42" t="inlineStr"/>
      <c r="V88" s="54" t="inlineStr">
        <is>
          <t>Configuration Issue</t>
        </is>
      </c>
      <c r="W88" s="42" t="inlineStr"/>
    </row>
    <row r="89">
      <c r="A89" s="39" t="inlineStr">
        <is>
          <t>IT-2999131</t>
        </is>
      </c>
      <c r="B89" s="39" t="inlineStr">
        <is>
          <t>IT-2999131</t>
        </is>
      </c>
      <c r="C89" s="39" t="inlineStr"/>
      <c r="D89" s="40" t="inlineStr">
        <is>
          <t>ppm-prospectmedical-idx-tba_professional_claims_GDF2_8_CDF2_8-"Pipeline failed for 2026/04/18""</t>
        </is>
      </c>
      <c r="E89" s="40" t="inlineStr">
        <is>
          <t>Pipeline Name: ppm-prospectmedical-idx-tba_professional_claims_GDF2_8_CDF2_8 Failure message: Please verify that the specified header or trailer pattern is accurate and that the source file is not empty, pattern : : @@TRAILER@@|</t>
        </is>
      </c>
      <c r="F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40" t="inlineStr">
        <is>
          <t>Per Lea, client resent them as 4/20 files; All have been delivered successfully.</t>
        </is>
      </c>
      <c r="H89" s="39" t="inlineStr">
        <is>
          <t>Other</t>
        </is>
      </c>
      <c r="I89" s="39" t="inlineStr">
        <is>
          <t>Other</t>
        </is>
      </c>
      <c r="J89" s="39" t="inlineStr"/>
      <c r="K89" s="39" t="inlineStr">
        <is>
          <t>Closed</t>
        </is>
      </c>
      <c r="L89" s="39" t="inlineStr">
        <is>
          <t>2026-04-18</t>
        </is>
      </c>
      <c r="M89" s="39" t="inlineStr">
        <is>
          <t>2026-04-30</t>
        </is>
      </c>
      <c r="N89" s="39" t="inlineStr">
        <is>
          <t>Nile Production Support</t>
        </is>
      </c>
      <c r="O89" s="39" t="inlineStr">
        <is>
          <t>Unassigned</t>
        </is>
      </c>
      <c r="P89" s="39" t="inlineStr">
        <is>
          <t>Limbu, Sajan</t>
        </is>
      </c>
      <c r="Q89" s="39" t="inlineStr">
        <is>
          <t>Resolved</t>
        </is>
      </c>
      <c r="R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9" t="inlineStr"/>
      <c r="T89" s="39" t="inlineStr"/>
      <c r="U89" s="39" t="inlineStr"/>
      <c r="V89" s="49" t="inlineStr">
        <is>
          <t>File Issue</t>
        </is>
      </c>
      <c r="W89" s="39" t="inlineStr"/>
    </row>
    <row r="90">
      <c r="A90" s="42" t="inlineStr">
        <is>
          <t>IT-2999102</t>
        </is>
      </c>
      <c r="B90" s="42" t="inlineStr">
        <is>
          <t>IT-2999102</t>
        </is>
      </c>
      <c r="C90" s="42" t="inlineStr"/>
      <c r="D90" s="43" t="inlineStr">
        <is>
          <t>WELEX - History PROF &amp; INST. files failed - 04/18/2026</t>
        </is>
      </c>
      <c r="E90" s="43"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3" t="inlineStr">
        <is>
          <t>Hi Gudala, Kumaraswamy We have requested client to send the replacement file. Email ref: Requesting replacement file for Wellmark QC test tba file we haven't heard anything yet from the client so, we have again sent a follow up email to the client.</t>
        </is>
      </c>
      <c r="G90" s="43" t="inlineStr"/>
      <c r="H90" s="42" t="inlineStr"/>
      <c r="I90" s="42" t="inlineStr"/>
      <c r="J90" s="42" t="inlineStr"/>
      <c r="K90" s="42" t="inlineStr">
        <is>
          <t>Awaiting User Info</t>
        </is>
      </c>
      <c r="L90" s="42" t="inlineStr">
        <is>
          <t>2026-04-18</t>
        </is>
      </c>
      <c r="M90" s="42" t="inlineStr">
        <is>
          <t>2026-05-06</t>
        </is>
      </c>
      <c r="N90" s="42" t="inlineStr">
        <is>
          <t>Nile Production Support</t>
        </is>
      </c>
      <c r="O90" s="42" t="inlineStr">
        <is>
          <t>Unassigned</t>
        </is>
      </c>
      <c r="P90" s="42" t="inlineStr">
        <is>
          <t>Gudala, Kumaraswamy</t>
        </is>
      </c>
      <c r="Q90" s="42" t="inlineStr">
        <is>
          <t>Unresolved</t>
        </is>
      </c>
      <c r="R90" s="43" t="inlineStr">
        <is>
          <t>Hi Gudala, Kumaraswamy We have requested client to send the replacement file. Email ref: Requesting replacement file for Wellmark QC test tba file we haven't heard anything yet from the client so, we have again sent a follow up email to the client.</t>
        </is>
      </c>
      <c r="S90" s="42" t="inlineStr"/>
      <c r="T90" s="42" t="inlineStr"/>
      <c r="U90" s="42" t="inlineStr"/>
      <c r="V90" s="50" t="inlineStr">
        <is>
          <t>Other</t>
        </is>
      </c>
      <c r="W90" s="42" t="inlineStr">
        <is>
          <t>Yes</t>
        </is>
      </c>
    </row>
    <row r="91">
      <c r="A91" s="39" t="inlineStr">
        <is>
          <t>IT-2998225</t>
        </is>
      </c>
      <c r="B91" s="39" t="inlineStr">
        <is>
          <t>IT-2998225</t>
        </is>
      </c>
      <c r="C91" s="39" t="inlineStr"/>
      <c r="D91" s="40" t="inlineStr">
        <is>
          <t>UHC-Cirrus: Pipeline Failure | Claim_EDI &amp; cir_Claim_Detail | Data Date: 2026/04/06 | Source file schema is not matching</t>
        </is>
      </c>
      <c r="E91" s="40"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40" t="inlineStr">
        <is>
          <t>Created a new module to handle and pass spark configuration updates. Also asked EDM to ask DATABASE Admin to free up some space as well as clear transaction logs for that DB</t>
        </is>
      </c>
      <c r="H91" s="39" t="inlineStr">
        <is>
          <t>Other</t>
        </is>
      </c>
      <c r="I91" s="39" t="inlineStr">
        <is>
          <t>Other</t>
        </is>
      </c>
      <c r="J91" s="39" t="inlineStr"/>
      <c r="K91" s="39" t="inlineStr">
        <is>
          <t>Closed</t>
        </is>
      </c>
      <c r="L91" s="39" t="inlineStr">
        <is>
          <t>2026-04-17</t>
        </is>
      </c>
      <c r="M91" s="39" t="inlineStr">
        <is>
          <t>2026-04-21</t>
        </is>
      </c>
      <c r="N91" s="39" t="inlineStr">
        <is>
          <t>Nile Production Support</t>
        </is>
      </c>
      <c r="O91" s="39" t="inlineStr">
        <is>
          <t>Unassigned</t>
        </is>
      </c>
      <c r="P91" s="39" t="inlineStr">
        <is>
          <t>Enid Ike</t>
        </is>
      </c>
      <c r="Q91" s="39" t="inlineStr">
        <is>
          <t>Resolved</t>
        </is>
      </c>
      <c r="R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9" t="inlineStr"/>
      <c r="T91" s="39" t="inlineStr"/>
      <c r="U91" s="39" t="inlineStr"/>
      <c r="V91" s="41" t="inlineStr">
        <is>
          <t>Schema issue</t>
        </is>
      </c>
      <c r="W91" s="39" t="inlineStr"/>
    </row>
    <row r="92">
      <c r="A92" s="42" t="inlineStr">
        <is>
          <t>IT-2997312</t>
        </is>
      </c>
      <c r="B92" s="42" t="inlineStr">
        <is>
          <t>IT-2997312</t>
        </is>
      </c>
      <c r="C92" s="42" t="inlineStr"/>
      <c r="D92" s="43" t="inlineStr">
        <is>
          <t>Please Move Elist spooler to Event Based set up</t>
        </is>
      </c>
      <c r="E92" s="43" t="inlineStr">
        <is>
          <t>Please Move Elist spooler to Event Based set up. spooler name: accentsep-cigna-misc-pp-qet-elist File name : PP_QET_ELIST.*.zip.pgp</t>
        </is>
      </c>
      <c r="F92" s="43" t="inlineStr">
        <is>
          <t>Ticket closed as [EDI2-16806] Please Move Elist spooler to Event Based set up - R&amp;D Jira - WDC raised on DI board</t>
        </is>
      </c>
      <c r="G92" s="43" t="inlineStr"/>
      <c r="H92" s="42" t="inlineStr">
        <is>
          <t>Other</t>
        </is>
      </c>
      <c r="I92" s="42" t="inlineStr">
        <is>
          <t>Other</t>
        </is>
      </c>
      <c r="J92" s="42" t="inlineStr"/>
      <c r="K92" s="42" t="inlineStr">
        <is>
          <t>Cancelled</t>
        </is>
      </c>
      <c r="L92" s="42" t="inlineStr">
        <is>
          <t>2026-04-17</t>
        </is>
      </c>
      <c r="M92" s="42" t="inlineStr">
        <is>
          <t>2026-04-30</t>
        </is>
      </c>
      <c r="N92" s="42" t="inlineStr">
        <is>
          <t>Nile Production Support</t>
        </is>
      </c>
      <c r="O92" s="42" t="inlineStr">
        <is>
          <t>Unassigned</t>
        </is>
      </c>
      <c r="P92" s="42" t="inlineStr">
        <is>
          <t>Nekkanti, Alekya</t>
        </is>
      </c>
      <c r="Q92" s="42" t="inlineStr">
        <is>
          <t>Cancelled</t>
        </is>
      </c>
      <c r="R92" s="43" t="inlineStr">
        <is>
          <t>Ticket closed as [EDI2-16806] Please Move Elist spooler to Event Based set up - R&amp;D Jira - WDC raised on DI board</t>
        </is>
      </c>
      <c r="S92" s="42" t="inlineStr"/>
      <c r="T92" s="42" t="inlineStr"/>
      <c r="U92" s="42" t="inlineStr"/>
      <c r="V92" s="57" t="inlineStr">
        <is>
          <t>Spooler issue</t>
        </is>
      </c>
      <c r="W92" s="42" t="inlineStr"/>
    </row>
    <row r="93">
      <c r="A93" s="39" t="inlineStr">
        <is>
          <t>IT-2996668</t>
        </is>
      </c>
      <c r="B93" s="39" t="inlineStr">
        <is>
          <t>IT-2996668</t>
        </is>
      </c>
      <c r="C93" s="39" t="inlineStr"/>
      <c r="D93" s="40" t="inlineStr">
        <is>
          <t>BMC Pipelines Review and Precheck Verification list for 15 clients.</t>
        </is>
      </c>
      <c r="E93" s="40"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40" t="inlineStr">
        <is>
          <t>Listed all the required BMC pipeline list and precheck conditions in a doc. Gathered all the restricted and unrestricted clients and assigned the clients with triage team to work on pipeline enhancements.</t>
        </is>
      </c>
      <c r="G93" s="40" t="inlineStr">
        <is>
          <t>Listed all the bmc optimization pipelines with precheck and publish status. closing this ticket.</t>
        </is>
      </c>
      <c r="H93" s="39" t="inlineStr">
        <is>
          <t>Other</t>
        </is>
      </c>
      <c r="I93" s="39" t="inlineStr">
        <is>
          <t>Other</t>
        </is>
      </c>
      <c r="J93" s="39" t="inlineStr"/>
      <c r="K93" s="39" t="inlineStr">
        <is>
          <t>Closed</t>
        </is>
      </c>
      <c r="L93" s="39" t="inlineStr">
        <is>
          <t>2026-04-17</t>
        </is>
      </c>
      <c r="M93" s="39" t="inlineStr">
        <is>
          <t>2026-04-20</t>
        </is>
      </c>
      <c r="N93" s="39" t="inlineStr">
        <is>
          <t>Nile Production Support</t>
        </is>
      </c>
      <c r="O93" s="39" t="inlineStr">
        <is>
          <t>Unassigned</t>
        </is>
      </c>
      <c r="P93" s="39" t="inlineStr">
        <is>
          <t>Kantimahanti, Ravisankar</t>
        </is>
      </c>
      <c r="Q93" s="39" t="inlineStr">
        <is>
          <t>Resolved</t>
        </is>
      </c>
      <c r="R93" s="40" t="inlineStr">
        <is>
          <t>Listed all the required BMC pipeline list and precheck conditions in a doc. Gathered all the restricted and unrestricted clients and assigned the clients with triage team to work on pipeline enhancements.</t>
        </is>
      </c>
      <c r="S93" s="39" t="inlineStr"/>
      <c r="T93" s="39" t="inlineStr"/>
      <c r="U93" s="39" t="inlineStr"/>
      <c r="V93" s="45" t="inlineStr">
        <is>
          <t>Configuration Issue</t>
        </is>
      </c>
      <c r="W93" s="39" t="inlineStr"/>
    </row>
    <row r="94">
      <c r="A94" s="42" t="inlineStr">
        <is>
          <t>IT-2995627</t>
        </is>
      </c>
      <c r="B94" s="42" t="inlineStr">
        <is>
          <t>IT-2995627</t>
        </is>
      </c>
      <c r="C94" s="42" t="inlineStr"/>
      <c r="D94" s="43" t="inlineStr">
        <is>
          <t>adding 2 email list for HCSC and UHC Cirrus pipeline</t>
        </is>
      </c>
      <c r="E94" s="43" t="inlineStr">
        <is>
          <t>team, would you please help add EDM_RCA_UHC_CIRRUS@cotiviti.com to uhc cirrus nile ingestion failure email notification would you please help add EDM_RCA_HCSC@cotiviti.com to HCSC nile ingestion failure email notification Thanks</t>
        </is>
      </c>
      <c r="F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3" t="inlineStr"/>
      <c r="H94" s="42" t="inlineStr">
        <is>
          <t>Other</t>
        </is>
      </c>
      <c r="I94" s="42" t="inlineStr">
        <is>
          <t>Other</t>
        </is>
      </c>
      <c r="J94" s="42" t="inlineStr"/>
      <c r="K94" s="42" t="inlineStr">
        <is>
          <t>On Hold</t>
        </is>
      </c>
      <c r="L94" s="42" t="inlineStr">
        <is>
          <t>2026-04-16</t>
        </is>
      </c>
      <c r="M94" s="42" t="inlineStr">
        <is>
          <t>2026-05-04</t>
        </is>
      </c>
      <c r="N94" s="42" t="inlineStr">
        <is>
          <t>Nile Production Support</t>
        </is>
      </c>
      <c r="O94" s="42" t="inlineStr">
        <is>
          <t>Unassigned</t>
        </is>
      </c>
      <c r="P94" s="42" t="inlineStr">
        <is>
          <t>Tang, Chao</t>
        </is>
      </c>
      <c r="Q94" s="42" t="inlineStr">
        <is>
          <t>Unresolved</t>
        </is>
      </c>
      <c r="R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42" t="inlineStr"/>
      <c r="T94" s="42" t="inlineStr"/>
      <c r="U94" s="42" t="inlineStr"/>
      <c r="V94" s="50" t="inlineStr">
        <is>
          <t>Other</t>
        </is>
      </c>
      <c r="W94" s="42" t="inlineStr">
        <is>
          <t>Yes</t>
        </is>
      </c>
    </row>
    <row r="95">
      <c r="A95" s="39" t="inlineStr">
        <is>
          <t>IT-2995289</t>
        </is>
      </c>
      <c r="B95" s="39" t="inlineStr">
        <is>
          <t>IT-2995289</t>
        </is>
      </c>
      <c r="C95" s="39" t="inlineStr"/>
      <c r="D95" s="40" t="inlineStr">
        <is>
          <t>Please provide location of Security Health Plan GDF claims professional history files</t>
        </is>
      </c>
      <c r="E95" s="40"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40" t="inlineStr">
        <is>
          <t>Created a table</t>
        </is>
      </c>
      <c r="H95" s="39" t="inlineStr">
        <is>
          <t>Other</t>
        </is>
      </c>
      <c r="I95" s="39" t="inlineStr">
        <is>
          <t>Other</t>
        </is>
      </c>
      <c r="J95" s="39" t="inlineStr"/>
      <c r="K95" s="39" t="inlineStr">
        <is>
          <t>Closed</t>
        </is>
      </c>
      <c r="L95" s="39" t="inlineStr">
        <is>
          <t>2026-04-16</t>
        </is>
      </c>
      <c r="M95" s="39" t="inlineStr">
        <is>
          <t>2026-04-22</t>
        </is>
      </c>
      <c r="N95" s="39" t="inlineStr">
        <is>
          <t>Nile Production Support</t>
        </is>
      </c>
      <c r="O95" s="39" t="inlineStr">
        <is>
          <t>Unassigned</t>
        </is>
      </c>
      <c r="P95" s="39" t="inlineStr">
        <is>
          <t>Herman, Donna</t>
        </is>
      </c>
      <c r="Q95" s="39" t="inlineStr">
        <is>
          <t>Resolved</t>
        </is>
      </c>
      <c r="R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9" t="inlineStr"/>
      <c r="T95" s="39" t="inlineStr"/>
      <c r="U95" s="39" t="inlineStr"/>
      <c r="V95" s="55" t="inlineStr">
        <is>
          <t>File Missing</t>
        </is>
      </c>
      <c r="W95" s="39" t="inlineStr"/>
    </row>
    <row r="96">
      <c r="A96" s="42" t="inlineStr">
        <is>
          <t>IT-2994837</t>
        </is>
      </c>
      <c r="B96" s="42" t="inlineStr">
        <is>
          <t>IT-2994837</t>
        </is>
      </c>
      <c r="C96" s="42" t="inlineStr"/>
      <c r="D96" s="43" t="inlineStr">
        <is>
          <t>Centene Amisys OLA Configurations.</t>
        </is>
      </c>
      <c r="E96" s="43" t="inlineStr">
        <is>
          <t>Centene Amisys OLA Configurations.</t>
        </is>
      </c>
      <c r="F96" s="43" t="inlineStr">
        <is>
          <t>Couple of OLA logs showing incorrect, Checked with engineering team. awaiting for an update.</t>
        </is>
      </c>
      <c r="G96" s="43" t="inlineStr">
        <is>
          <t>Configured as per the latest feature available.</t>
        </is>
      </c>
      <c r="H96" s="42" t="inlineStr">
        <is>
          <t>Other</t>
        </is>
      </c>
      <c r="I96" s="42" t="inlineStr">
        <is>
          <t>Other</t>
        </is>
      </c>
      <c r="J96" s="42" t="inlineStr"/>
      <c r="K96" s="42" t="inlineStr">
        <is>
          <t>Closed</t>
        </is>
      </c>
      <c r="L96" s="42" t="inlineStr">
        <is>
          <t>2026-04-16</t>
        </is>
      </c>
      <c r="M96" s="42" t="inlineStr">
        <is>
          <t>2026-05-04</t>
        </is>
      </c>
      <c r="N96" s="42" t="inlineStr">
        <is>
          <t>Nile Production Support</t>
        </is>
      </c>
      <c r="O96" s="42" t="inlineStr">
        <is>
          <t>Unassigned</t>
        </is>
      </c>
      <c r="P96" s="42" t="inlineStr">
        <is>
          <t>Jani, Shaik</t>
        </is>
      </c>
      <c r="Q96" s="42" t="inlineStr">
        <is>
          <t>Resolved</t>
        </is>
      </c>
      <c r="R96" s="43" t="inlineStr">
        <is>
          <t>Couple of OLA logs showing incorrect, Checked with engineering team. awaiting for an update.</t>
        </is>
      </c>
      <c r="S96" s="42" t="inlineStr"/>
      <c r="T96" s="42" t="inlineStr"/>
      <c r="U96" s="42" t="inlineStr"/>
      <c r="V96" s="54" t="inlineStr">
        <is>
          <t>Configuration Issue</t>
        </is>
      </c>
      <c r="W96" s="42" t="inlineStr"/>
    </row>
    <row r="97">
      <c r="A97" s="39" t="inlineStr">
        <is>
          <t>IT-2994825</t>
        </is>
      </c>
      <c r="B97" s="39" t="inlineStr">
        <is>
          <t>IT-2994825</t>
        </is>
      </c>
      <c r="C97" s="39" t="inlineStr"/>
      <c r="D97" s="40" t="inlineStr">
        <is>
          <t>Caresource RCA OLA Configurations</t>
        </is>
      </c>
      <c r="E97" s="40" t="inlineStr">
        <is>
          <t>Caresource RCA OLA Configurations</t>
        </is>
      </c>
      <c r="F97" s="40" t="inlineStr">
        <is>
          <t>To check the results if working fine.</t>
        </is>
      </c>
      <c r="G97" s="40" t="inlineStr">
        <is>
          <t>Configured the OLA as per the new feature available.</t>
        </is>
      </c>
      <c r="H97" s="39" t="inlineStr">
        <is>
          <t>Other</t>
        </is>
      </c>
      <c r="I97" s="39" t="inlineStr">
        <is>
          <t>Other</t>
        </is>
      </c>
      <c r="J97" s="39" t="inlineStr"/>
      <c r="K97" s="39" t="inlineStr">
        <is>
          <t>Closed</t>
        </is>
      </c>
      <c r="L97" s="39" t="inlineStr">
        <is>
          <t>2026-04-16</t>
        </is>
      </c>
      <c r="M97" s="39" t="inlineStr">
        <is>
          <t>2026-05-04</t>
        </is>
      </c>
      <c r="N97" s="39" t="inlineStr">
        <is>
          <t>Nile Production Support</t>
        </is>
      </c>
      <c r="O97" s="39" t="inlineStr">
        <is>
          <t>Unassigned</t>
        </is>
      </c>
      <c r="P97" s="39" t="inlineStr">
        <is>
          <t>Jani, Shaik</t>
        </is>
      </c>
      <c r="Q97" s="39" t="inlineStr">
        <is>
          <t>Resolved</t>
        </is>
      </c>
      <c r="R97" s="40" t="inlineStr">
        <is>
          <t>To check the results if working fine.</t>
        </is>
      </c>
      <c r="S97" s="39" t="inlineStr"/>
      <c r="T97" s="39" t="inlineStr"/>
      <c r="U97" s="39" t="inlineStr"/>
      <c r="V97" s="45" t="inlineStr">
        <is>
          <t>Configuration Issue</t>
        </is>
      </c>
      <c r="W97" s="39" t="inlineStr"/>
    </row>
    <row r="98">
      <c r="A98" s="42" t="inlineStr">
        <is>
          <t>IT-2994804</t>
        </is>
      </c>
      <c r="B98" s="42" t="inlineStr">
        <is>
          <t>IT-2994804</t>
        </is>
      </c>
      <c r="C98" s="42" t="inlineStr"/>
      <c r="D98" s="43" t="inlineStr">
        <is>
          <t>Banner file ingestion failed</t>
        </is>
      </c>
      <c r="E98" s="43" t="inlineStr">
        <is>
          <t>Banner file ingestion failed can you please help resolve this issue This pipeline seems failing every month, can we fix this issue for all future loads? Thanks</t>
        </is>
      </c>
      <c r="F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3" t="inlineStr"/>
      <c r="H98" s="42" t="inlineStr"/>
      <c r="I98" s="42" t="inlineStr"/>
      <c r="J98" s="42" t="inlineStr"/>
      <c r="K98" s="42" t="inlineStr">
        <is>
          <t>Active</t>
        </is>
      </c>
      <c r="L98" s="42" t="inlineStr">
        <is>
          <t>2026-04-16</t>
        </is>
      </c>
      <c r="M98" s="42" t="inlineStr">
        <is>
          <t>2026-04-20</t>
        </is>
      </c>
      <c r="N98" s="42" t="inlineStr">
        <is>
          <t>Nile Production Support</t>
        </is>
      </c>
      <c r="O98" s="42" t="inlineStr">
        <is>
          <t>Unassigned</t>
        </is>
      </c>
      <c r="P98" s="42" t="inlineStr">
        <is>
          <t>Tang, Chao</t>
        </is>
      </c>
      <c r="Q98" s="42" t="inlineStr">
        <is>
          <t>Unresolved</t>
        </is>
      </c>
      <c r="R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42" t="inlineStr"/>
      <c r="T98" s="42" t="inlineStr"/>
      <c r="U98" s="42" t="inlineStr"/>
      <c r="V98" s="46" t="inlineStr">
        <is>
          <t>File Issue</t>
        </is>
      </c>
      <c r="W98" s="42" t="inlineStr"/>
    </row>
    <row r="99">
      <c r="A99" s="39" t="inlineStr">
        <is>
          <t>IT-2994792</t>
        </is>
      </c>
      <c r="B99" s="39" t="inlineStr">
        <is>
          <t>IT-2994792</t>
        </is>
      </c>
      <c r="C99" s="39" t="inlineStr"/>
      <c r="D99" s="40" t="inlineStr">
        <is>
          <t>Decomission HAMP EPICTAPESTRY PPM</t>
        </is>
      </c>
      <c r="E99" s="40" t="inlineStr">
        <is>
          <t>Decomission HAMP EPICTAPESTRY PPM</t>
        </is>
      </c>
      <c r="F99" s="40" t="inlineStr">
        <is>
          <t>RE_ DAILY_ Missing File_ HAMP TBA professional File not received (20260405).msg</t>
        </is>
      </c>
      <c r="G99" s="40" t="inlineStr">
        <is>
          <t>Removed the pipeline and spoolers from the Nile application and tracker.</t>
        </is>
      </c>
      <c r="H99" s="39" t="inlineStr">
        <is>
          <t>Other</t>
        </is>
      </c>
      <c r="I99" s="39" t="inlineStr">
        <is>
          <t>Other</t>
        </is>
      </c>
      <c r="J99" s="39" t="inlineStr"/>
      <c r="K99" s="39" t="inlineStr">
        <is>
          <t>Closed</t>
        </is>
      </c>
      <c r="L99" s="39" t="inlineStr">
        <is>
          <t>2026-04-16</t>
        </is>
      </c>
      <c r="M99" s="39" t="inlineStr">
        <is>
          <t>2026-04-16</t>
        </is>
      </c>
      <c r="N99" s="39" t="inlineStr">
        <is>
          <t>Nile Production Support</t>
        </is>
      </c>
      <c r="O99" s="39" t="inlineStr">
        <is>
          <t>Unassigned</t>
        </is>
      </c>
      <c r="P99" s="39" t="inlineStr">
        <is>
          <t>Courville, Lea</t>
        </is>
      </c>
      <c r="Q99" s="39" t="inlineStr">
        <is>
          <t>Resolved</t>
        </is>
      </c>
      <c r="R99" s="40" t="inlineStr">
        <is>
          <t>RE_ DAILY_ Missing File_ HAMP TBA professional File not received (20260405).msg</t>
        </is>
      </c>
      <c r="S99" s="39" t="inlineStr"/>
      <c r="T99" s="39" t="inlineStr"/>
      <c r="U99" s="39" t="inlineStr"/>
      <c r="V99" s="51" t="inlineStr">
        <is>
          <t>Other</t>
        </is>
      </c>
      <c r="W99" s="39" t="inlineStr">
        <is>
          <t>Yes</t>
        </is>
      </c>
    </row>
    <row r="100">
      <c r="A100" s="42" t="inlineStr">
        <is>
          <t>IT-2994782</t>
        </is>
      </c>
      <c r="B100" s="42" t="inlineStr">
        <is>
          <t>IT-2994782</t>
        </is>
      </c>
      <c r="C100" s="42" t="inlineStr"/>
      <c r="D100" s="43" t="inlineStr">
        <is>
          <t>CalOptima Facets OLA Configuration</t>
        </is>
      </c>
      <c r="E100" s="43" t="inlineStr">
        <is>
          <t>CalOptima Facets OLA Configuration</t>
        </is>
      </c>
      <c r="F100" s="43" t="inlineStr"/>
      <c r="G100" s="43" t="inlineStr">
        <is>
          <t>Configured and updated accordingly.</t>
        </is>
      </c>
      <c r="H100" s="42" t="inlineStr">
        <is>
          <t>Other</t>
        </is>
      </c>
      <c r="I100" s="42" t="inlineStr">
        <is>
          <t>Other</t>
        </is>
      </c>
      <c r="J100" s="42" t="inlineStr"/>
      <c r="K100" s="42" t="inlineStr">
        <is>
          <t>Closed</t>
        </is>
      </c>
      <c r="L100" s="42" t="inlineStr">
        <is>
          <t>2026-04-16</t>
        </is>
      </c>
      <c r="M100" s="42" t="inlineStr">
        <is>
          <t>2026-04-16</t>
        </is>
      </c>
      <c r="N100" s="42" t="inlineStr">
        <is>
          <t>Nile Production Support</t>
        </is>
      </c>
      <c r="O100" s="42" t="inlineStr">
        <is>
          <t>Unassigned</t>
        </is>
      </c>
      <c r="P100" s="42" t="inlineStr">
        <is>
          <t>Jani, Shaik</t>
        </is>
      </c>
      <c r="Q100" s="42" t="inlineStr">
        <is>
          <t>Resolved</t>
        </is>
      </c>
      <c r="R100" s="43" t="inlineStr"/>
      <c r="S100" s="42" t="inlineStr"/>
      <c r="T100" s="42" t="inlineStr"/>
      <c r="U100" s="42" t="inlineStr"/>
      <c r="V100" s="54" t="inlineStr">
        <is>
          <t>Configuration Issue</t>
        </is>
      </c>
      <c r="W100" s="42" t="inlineStr"/>
    </row>
    <row r="101">
      <c r="A101" s="39" t="inlineStr">
        <is>
          <t>IT-2994567</t>
        </is>
      </c>
      <c r="B101" s="39" t="inlineStr">
        <is>
          <t>IT-2994567</t>
        </is>
      </c>
      <c r="C101" s="39" t="inlineStr"/>
      <c r="D101" s="40" t="inlineStr">
        <is>
          <t>please help hold off UHC Cirrus new weekly scheduled file ingestion which should start on 4/20</t>
        </is>
      </c>
      <c r="E101" s="40" t="inlineStr">
        <is>
          <t>please help hold off UHC Cirrus new weekly scheduled file ingestion which should start on 4/20</t>
        </is>
      </c>
      <c r="F101" s="40" t="inlineStr">
        <is>
          <t>Nile master spread sheet has been updated accordingly.</t>
        </is>
      </c>
      <c r="G101" s="40" t="inlineStr">
        <is>
          <t>task completed</t>
        </is>
      </c>
      <c r="H101" s="39" t="inlineStr">
        <is>
          <t>Other</t>
        </is>
      </c>
      <c r="I101" s="39" t="inlineStr">
        <is>
          <t>Other</t>
        </is>
      </c>
      <c r="J101" s="39" t="inlineStr"/>
      <c r="K101" s="39" t="inlineStr">
        <is>
          <t>Closed</t>
        </is>
      </c>
      <c r="L101" s="39" t="inlineStr">
        <is>
          <t>2026-04-16</t>
        </is>
      </c>
      <c r="M101" s="39" t="inlineStr">
        <is>
          <t>2026-04-17</t>
        </is>
      </c>
      <c r="N101" s="39" t="inlineStr">
        <is>
          <t>Nile Production Support</t>
        </is>
      </c>
      <c r="O101" s="39" t="inlineStr">
        <is>
          <t>Unassigned</t>
        </is>
      </c>
      <c r="P101" s="39" t="inlineStr">
        <is>
          <t>Tang, Chao</t>
        </is>
      </c>
      <c r="Q101" s="39" t="inlineStr">
        <is>
          <t>Resolved</t>
        </is>
      </c>
      <c r="R101" s="40" t="inlineStr">
        <is>
          <t>Nile master spread sheet has been updated accordingly.</t>
        </is>
      </c>
      <c r="S101" s="39" t="inlineStr"/>
      <c r="T101" s="39" t="inlineStr"/>
      <c r="U101" s="39" t="inlineStr"/>
      <c r="V101" s="49" t="inlineStr">
        <is>
          <t>File Issue</t>
        </is>
      </c>
      <c r="W101" s="39" t="inlineStr"/>
    </row>
    <row r="102">
      <c r="A102" s="42" t="inlineStr">
        <is>
          <t>IT-2994408</t>
        </is>
      </c>
      <c r="B102" s="42" t="inlineStr">
        <is>
          <t>IT-2994408</t>
        </is>
      </c>
      <c r="C102" s="42" t="inlineStr"/>
      <c r="D102" s="43" t="inlineStr">
        <is>
          <t>please resume cirrus file ingestion for 4/6/26</t>
        </is>
      </c>
      <c r="E102" s="43" t="inlineStr">
        <is>
          <t>please resume cirrus file ingestion</t>
        </is>
      </c>
      <c r="F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3" t="inlineStr">
        <is>
          <t>task completed. closing out ticket</t>
        </is>
      </c>
      <c r="H102" s="42" t="inlineStr">
        <is>
          <t>Other</t>
        </is>
      </c>
      <c r="I102" s="42" t="inlineStr">
        <is>
          <t>Other</t>
        </is>
      </c>
      <c r="J102" s="42" t="inlineStr"/>
      <c r="K102" s="42" t="inlineStr">
        <is>
          <t>Closed</t>
        </is>
      </c>
      <c r="L102" s="42" t="inlineStr">
        <is>
          <t>2026-04-16</t>
        </is>
      </c>
      <c r="M102" s="42" t="inlineStr">
        <is>
          <t>2026-04-22</t>
        </is>
      </c>
      <c r="N102" s="42" t="inlineStr">
        <is>
          <t>Nile Production Support</t>
        </is>
      </c>
      <c r="O102" s="42" t="inlineStr">
        <is>
          <t>Unassigned</t>
        </is>
      </c>
      <c r="P102" s="42" t="inlineStr">
        <is>
          <t>Tang, Chao</t>
        </is>
      </c>
      <c r="Q102" s="42" t="inlineStr">
        <is>
          <t>Resolved</t>
        </is>
      </c>
      <c r="R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42" t="inlineStr"/>
      <c r="T102" s="42" t="inlineStr"/>
      <c r="U102" s="42" t="inlineStr"/>
      <c r="V102" s="46" t="inlineStr">
        <is>
          <t>File Issue</t>
        </is>
      </c>
      <c r="W102" s="42" t="inlineStr"/>
    </row>
    <row r="103">
      <c r="A103" s="39" t="inlineStr">
        <is>
          <t>IT-2993547</t>
        </is>
      </c>
      <c r="B103" s="39" t="inlineStr">
        <is>
          <t>IT-2993547</t>
        </is>
      </c>
      <c r="C103" s="39" t="inlineStr"/>
      <c r="D103" s="40" t="inlineStr">
        <is>
          <t>OLA Configuration of daily pipeline (HCSCG &amp; HCDIL)</t>
        </is>
      </c>
      <c r="E103" s="40" t="inlineStr">
        <is>
          <t>Earlier setup for it After Update:</t>
        </is>
      </c>
      <c r="F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40" t="inlineStr"/>
      <c r="H103" s="39" t="inlineStr">
        <is>
          <t>Other</t>
        </is>
      </c>
      <c r="I103" s="39" t="inlineStr">
        <is>
          <t>Other</t>
        </is>
      </c>
      <c r="J103" s="39" t="inlineStr"/>
      <c r="K103" s="39" t="inlineStr">
        <is>
          <t>Open</t>
        </is>
      </c>
      <c r="L103" s="39" t="inlineStr">
        <is>
          <t>2026-04-16</t>
        </is>
      </c>
      <c r="M103" s="39" t="inlineStr">
        <is>
          <t>2026-04-16</t>
        </is>
      </c>
      <c r="N103" s="39" t="inlineStr">
        <is>
          <t>Nile Production Support</t>
        </is>
      </c>
      <c r="O103" s="39" t="inlineStr">
        <is>
          <t>Unassigned</t>
        </is>
      </c>
      <c r="P103" s="39" t="inlineStr">
        <is>
          <t>Kandel, Amik</t>
        </is>
      </c>
      <c r="Q103" s="39" t="inlineStr">
        <is>
          <t>Unresolved</t>
        </is>
      </c>
      <c r="R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9" t="inlineStr"/>
      <c r="T103" s="39" t="inlineStr"/>
      <c r="U103" s="39" t="inlineStr"/>
      <c r="V103" s="45" t="inlineStr">
        <is>
          <t>Configuration Issue</t>
        </is>
      </c>
      <c r="W103" s="39" t="inlineStr"/>
    </row>
    <row r="104">
      <c r="A104" s="42" t="inlineStr">
        <is>
          <t>IT-2993542</t>
        </is>
      </c>
      <c r="B104" s="42" t="inlineStr">
        <is>
          <t>IT-2993542</t>
        </is>
      </c>
      <c r="C104" s="42" t="inlineStr"/>
      <c r="D104" s="43" t="inlineStr">
        <is>
          <t>Update " SpecialtyPharmacyProviders" Table in MCL</t>
        </is>
      </c>
      <c r="E104" s="43"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3" t="inlineStr">
        <is>
          <t>File processed successfully</t>
        </is>
      </c>
      <c r="H104" s="42" t="inlineStr">
        <is>
          <t>Other</t>
        </is>
      </c>
      <c r="I104" s="42" t="inlineStr">
        <is>
          <t>Other</t>
        </is>
      </c>
      <c r="J104" s="42" t="inlineStr"/>
      <c r="K104" s="42" t="inlineStr">
        <is>
          <t>Closed</t>
        </is>
      </c>
      <c r="L104" s="42" t="inlineStr">
        <is>
          <t>2026-04-16</t>
        </is>
      </c>
      <c r="M104" s="42" t="inlineStr">
        <is>
          <t>2026-04-20</t>
        </is>
      </c>
      <c r="N104" s="42" t="inlineStr">
        <is>
          <t>Nile Production Support</t>
        </is>
      </c>
      <c r="O104" s="42" t="inlineStr">
        <is>
          <t>Unassigned</t>
        </is>
      </c>
      <c r="P104" s="42" t="inlineStr">
        <is>
          <t>Bhegade, Shweta</t>
        </is>
      </c>
      <c r="Q104" s="42" t="inlineStr">
        <is>
          <t>Resolved</t>
        </is>
      </c>
      <c r="R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42" t="inlineStr"/>
      <c r="T104" s="42" t="inlineStr"/>
      <c r="U104" s="42" t="inlineStr"/>
      <c r="V104" s="50" t="inlineStr">
        <is>
          <t>Other</t>
        </is>
      </c>
      <c r="W104" s="42" t="inlineStr">
        <is>
          <t>Yes</t>
        </is>
      </c>
    </row>
    <row r="105">
      <c r="A105" s="39" t="inlineStr">
        <is>
          <t>IT-2992898</t>
        </is>
      </c>
      <c r="B105" s="39" t="inlineStr">
        <is>
          <t>IT-2992898</t>
        </is>
      </c>
      <c r="C105" s="39" t="inlineStr"/>
      <c r="D105" s="40" t="inlineStr">
        <is>
          <t>Please e-process the Centene-Centene weekly member pipelines using the replacement files received today with file dates of 20260414</t>
        </is>
      </c>
      <c r="E105" s="40"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40" t="inlineStr">
        <is>
          <t>we already processed the pipeline for that date and closed this ticket.</t>
        </is>
      </c>
      <c r="H105" s="39" t="inlineStr">
        <is>
          <t>Other</t>
        </is>
      </c>
      <c r="I105" s="39" t="inlineStr">
        <is>
          <t>Other</t>
        </is>
      </c>
      <c r="J105" s="39" t="inlineStr"/>
      <c r="K105" s="39" t="inlineStr">
        <is>
          <t>Closed</t>
        </is>
      </c>
      <c r="L105" s="39" t="inlineStr">
        <is>
          <t>2026-04-15</t>
        </is>
      </c>
      <c r="M105" s="39" t="inlineStr">
        <is>
          <t>2026-04-28</t>
        </is>
      </c>
      <c r="N105" s="39" t="inlineStr">
        <is>
          <t>Nile Production Support</t>
        </is>
      </c>
      <c r="O105" s="39" t="inlineStr">
        <is>
          <t>Unassigned</t>
        </is>
      </c>
      <c r="P105" s="39" t="inlineStr">
        <is>
          <t>Castro, Ronald</t>
        </is>
      </c>
      <c r="Q105" s="39" t="inlineStr">
        <is>
          <t>Resolved</t>
        </is>
      </c>
      <c r="R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9" t="inlineStr"/>
      <c r="T105" s="39" t="inlineStr"/>
      <c r="U105" s="39" t="inlineStr"/>
      <c r="V105" s="49" t="inlineStr">
        <is>
          <t>File Issue</t>
        </is>
      </c>
      <c r="W105" s="39" t="inlineStr"/>
    </row>
    <row r="106">
      <c r="A106" s="42" t="inlineStr">
        <is>
          <t>IT-2992725</t>
        </is>
      </c>
      <c r="B106" s="42" t="inlineStr">
        <is>
          <t>IT-2992725</t>
        </is>
      </c>
      <c r="C106" s="42" t="inlineStr"/>
      <c r="D106" s="43" t="inlineStr">
        <is>
          <t>Add [EDM_RCA_Fidelis@cotiviti.com] to the distribution list of new platform lineage report</t>
        </is>
      </c>
      <c r="E106" s="43" t="inlineStr">
        <is>
          <t>Hello Team , we do not receive lineage report for new platform fidelis for following. Member , Claim , Provider , NoTouch We receive lineage report only for PBM [prod - fideliscare - centene - claims - pharmacy]</t>
        </is>
      </c>
      <c r="F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3" t="inlineStr"/>
      <c r="H106" s="42" t="inlineStr">
        <is>
          <t>Other</t>
        </is>
      </c>
      <c r="I106" s="42" t="inlineStr">
        <is>
          <t>Other</t>
        </is>
      </c>
      <c r="J106" s="42" t="inlineStr"/>
      <c r="K106" s="42" t="inlineStr">
        <is>
          <t>On Hold</t>
        </is>
      </c>
      <c r="L106" s="42" t="inlineStr">
        <is>
          <t>2026-04-15</t>
        </is>
      </c>
      <c r="M106" s="42" t="inlineStr">
        <is>
          <t>2026-05-06</t>
        </is>
      </c>
      <c r="N106" s="42" t="inlineStr">
        <is>
          <t>Nile Production Support</t>
        </is>
      </c>
      <c r="O106" s="42" t="inlineStr">
        <is>
          <t>Unassigned</t>
        </is>
      </c>
      <c r="P106" s="42" t="inlineStr">
        <is>
          <t>Hirpara, Meera</t>
        </is>
      </c>
      <c r="Q106" s="42" t="inlineStr">
        <is>
          <t>Unresolved</t>
        </is>
      </c>
      <c r="R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42" t="inlineStr"/>
      <c r="T106" s="42" t="inlineStr"/>
      <c r="U106" s="42" t="inlineStr"/>
      <c r="V106" s="57" t="inlineStr">
        <is>
          <t>Spooler issue</t>
        </is>
      </c>
      <c r="W106" s="42" t="inlineStr"/>
    </row>
    <row r="107">
      <c r="A107" s="39" t="inlineStr">
        <is>
          <t>IT-2992632</t>
        </is>
      </c>
      <c r="B107" s="39" t="inlineStr">
        <is>
          <t>IT-2992632</t>
        </is>
      </c>
      <c r="C107" s="39" t="inlineStr"/>
      <c r="D107" s="40" t="inlineStr">
        <is>
          <t>Please create a spooler and pipeline</t>
        </is>
      </c>
      <c r="E107" s="40"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40" t="inlineStr">
        <is>
          <t>creeated spooler accentsep-sodexo-inc96L3-CDL Created pipeline: accent-separation-anthem-Sodexo-inc96L3-CDL</t>
        </is>
      </c>
      <c r="G107" s="40" t="inlineStr">
        <is>
          <t>Created a new spooler and new pipeline for ACCENT Verified file delivery and scheduled the spoolers and pipelines accordingly</t>
        </is>
      </c>
      <c r="H107" s="39" t="inlineStr">
        <is>
          <t>Other</t>
        </is>
      </c>
      <c r="I107" s="39" t="inlineStr">
        <is>
          <t>Other</t>
        </is>
      </c>
      <c r="J107" s="39" t="inlineStr"/>
      <c r="K107" s="39" t="inlineStr">
        <is>
          <t>Closed</t>
        </is>
      </c>
      <c r="L107" s="39" t="inlineStr">
        <is>
          <t>2026-04-15</t>
        </is>
      </c>
      <c r="M107" s="39" t="inlineStr">
        <is>
          <t>2026-04-23</t>
        </is>
      </c>
      <c r="N107" s="39" t="inlineStr">
        <is>
          <t>Nile Production Support</t>
        </is>
      </c>
      <c r="O107" s="39" t="inlineStr">
        <is>
          <t>Unassigned</t>
        </is>
      </c>
      <c r="P107" s="39" t="inlineStr">
        <is>
          <t>Nekkanti, Alekya</t>
        </is>
      </c>
      <c r="Q107" s="39" t="inlineStr">
        <is>
          <t>Resolved</t>
        </is>
      </c>
      <c r="R107" s="40" t="inlineStr">
        <is>
          <t>creeated spooler accentsep-sodexo-inc96L3-CDL Created pipeline: accent-separation-anthem-Sodexo-inc96L3-CDL</t>
        </is>
      </c>
      <c r="S107" s="39" t="inlineStr"/>
      <c r="T107" s="39" t="inlineStr"/>
      <c r="U107" s="39" t="inlineStr"/>
      <c r="V107" s="53" t="inlineStr">
        <is>
          <t>Spooler issue</t>
        </is>
      </c>
      <c r="W107" s="39" t="inlineStr"/>
    </row>
    <row r="108">
      <c r="A108" s="42" t="inlineStr">
        <is>
          <t>IT-2992309</t>
        </is>
      </c>
      <c r="B108" s="42" t="inlineStr">
        <is>
          <t>IT-2992309</t>
        </is>
      </c>
      <c r="C108" s="42" t="inlineStr"/>
      <c r="D108" s="43" t="inlineStr">
        <is>
          <t>Urgent Request: The Kaiser team is missing the latest Dataload which should have a max claim_paid_date of 03/27/2026</t>
        </is>
      </c>
      <c r="E108" s="43"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3" t="inlineStr">
        <is>
          <t>Closing. Per Melly S., should be in Nile Onboarding team. Not sure if IT-XXXXX tickets is the right forum for these tickets. Sajjan is working with operations to get this resolved. per comment: 15/Apr/26 5:14 PM EDT</t>
        </is>
      </c>
      <c r="G108" s="43" t="inlineStr"/>
      <c r="H108" s="42" t="inlineStr"/>
      <c r="I108" s="42" t="inlineStr"/>
      <c r="J108" s="42" t="inlineStr"/>
      <c r="K108" s="42" t="inlineStr">
        <is>
          <t>Cancelled</t>
        </is>
      </c>
      <c r="L108" s="42" t="inlineStr">
        <is>
          <t>2026-04-15</t>
        </is>
      </c>
      <c r="M108" s="42" t="inlineStr">
        <is>
          <t>2026-04-15</t>
        </is>
      </c>
      <c r="N108" s="42" t="inlineStr">
        <is>
          <t>Nile Production Support</t>
        </is>
      </c>
      <c r="O108" s="42" t="inlineStr">
        <is>
          <t>Unassigned</t>
        </is>
      </c>
      <c r="P108" s="42" t="inlineStr">
        <is>
          <t>Sondota, James</t>
        </is>
      </c>
      <c r="Q108" s="42" t="inlineStr">
        <is>
          <t>Cancelled</t>
        </is>
      </c>
      <c r="R108" s="43" t="inlineStr">
        <is>
          <t>Closing. Per Melly S., should be in Nile Onboarding team. Not sure if IT-XXXXX tickets is the right forum for these tickets. Sajjan is working with operations to get this resolved. per comment: 15/Apr/26 5:14 PM EDT</t>
        </is>
      </c>
      <c r="S108" s="42" t="inlineStr"/>
      <c r="T108" s="42" t="inlineStr"/>
      <c r="U108" s="42" t="inlineStr"/>
      <c r="V108" s="50" t="inlineStr">
        <is>
          <t>Other</t>
        </is>
      </c>
      <c r="W108" s="42" t="inlineStr">
        <is>
          <t>Yes</t>
        </is>
      </c>
    </row>
    <row r="109">
      <c r="A109" s="39" t="inlineStr">
        <is>
          <t>IT-2992008</t>
        </is>
      </c>
      <c r="B109" s="39" t="inlineStr">
        <is>
          <t>IT-2992008</t>
        </is>
      </c>
      <c r="C109" s="39" t="inlineStr"/>
      <c r="D109" s="40" t="inlineStr">
        <is>
          <t>BMC Pipelines Review and Precheck Verification list for 20 clients.</t>
        </is>
      </c>
      <c r="E109" s="40" t="inlineStr">
        <is>
          <t>Reviewed all BMC pipelines for 20 clients, verified module association, checked precheck configuration (latest option), identified non-module workflow calls, and shared missing pipelines with Krishna.</t>
        </is>
      </c>
      <c r="F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40" t="inlineStr">
        <is>
          <t>I have provided list of bmc optimization pipelines and closed this ticket.</t>
        </is>
      </c>
      <c r="H109" s="39" t="inlineStr">
        <is>
          <t>Other</t>
        </is>
      </c>
      <c r="I109" s="39" t="inlineStr">
        <is>
          <t>Other</t>
        </is>
      </c>
      <c r="J109" s="39" t="inlineStr"/>
      <c r="K109" s="39" t="inlineStr">
        <is>
          <t>Closed</t>
        </is>
      </c>
      <c r="L109" s="39" t="inlineStr">
        <is>
          <t>2026-04-15</t>
        </is>
      </c>
      <c r="M109" s="39" t="inlineStr">
        <is>
          <t>2026-04-17</t>
        </is>
      </c>
      <c r="N109" s="39" t="inlineStr">
        <is>
          <t>Nile Production Support</t>
        </is>
      </c>
      <c r="O109" s="39" t="inlineStr">
        <is>
          <t>Unassigned</t>
        </is>
      </c>
      <c r="P109" s="39" t="inlineStr">
        <is>
          <t>Kantimahanti, Ravisankar</t>
        </is>
      </c>
      <c r="Q109" s="39" t="inlineStr">
        <is>
          <t>Resolved</t>
        </is>
      </c>
      <c r="R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9" t="inlineStr"/>
      <c r="T109" s="39" t="inlineStr"/>
      <c r="U109" s="39" t="inlineStr"/>
      <c r="V109" s="45" t="inlineStr">
        <is>
          <t>Configuration Issue</t>
        </is>
      </c>
      <c r="W109" s="39" t="inlineStr"/>
    </row>
    <row r="110">
      <c r="A110" s="42" t="inlineStr">
        <is>
          <t>IT-2991529</t>
        </is>
      </c>
      <c r="B110" s="42" t="inlineStr">
        <is>
          <t>IT-2991529</t>
        </is>
      </c>
      <c r="C110" s="42" t="inlineStr"/>
      <c r="D110" s="43" t="inlineStr">
        <is>
          <t>Please Run These MCL Pipelines</t>
        </is>
      </c>
      <c r="E110" s="43"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3" t="inlineStr">
        <is>
          <t>Hello Kamsetty, Sravani . I have reviewed the tables for these pipelines, and the data looks good. You can close this ticket. Thanks for your hard work! Mike Thanks for the confirmation, Closing the ticket.</t>
        </is>
      </c>
      <c r="G110" s="43" t="inlineStr">
        <is>
          <t>Files loaded successfully. Thanks for the confirmation, Closing the ticket.</t>
        </is>
      </c>
      <c r="H110" s="42" t="inlineStr">
        <is>
          <t>Other</t>
        </is>
      </c>
      <c r="I110" s="42" t="inlineStr">
        <is>
          <t>Other</t>
        </is>
      </c>
      <c r="J110" s="42" t="inlineStr"/>
      <c r="K110" s="42" t="inlineStr">
        <is>
          <t>Closed</t>
        </is>
      </c>
      <c r="L110" s="42" t="inlineStr">
        <is>
          <t>2026-04-15</t>
        </is>
      </c>
      <c r="M110" s="42" t="inlineStr">
        <is>
          <t>2026-04-17</t>
        </is>
      </c>
      <c r="N110" s="42" t="inlineStr">
        <is>
          <t>Nile Production Support</t>
        </is>
      </c>
      <c r="O110" s="42" t="inlineStr">
        <is>
          <t>Unassigned</t>
        </is>
      </c>
      <c r="P110" s="42" t="inlineStr">
        <is>
          <t>Deynarian, Michael</t>
        </is>
      </c>
      <c r="Q110" s="42" t="inlineStr">
        <is>
          <t>Resolved</t>
        </is>
      </c>
      <c r="R110" s="43" t="inlineStr">
        <is>
          <t>Hello Kamsetty, Sravani . I have reviewed the tables for these pipelines, and the data looks good. You can close this ticket. Thanks for your hard work! Mike Thanks for the confirmation, Closing the ticket.</t>
        </is>
      </c>
      <c r="S110" s="42" t="inlineStr"/>
      <c r="T110" s="42" t="inlineStr"/>
      <c r="U110" s="42" t="inlineStr"/>
      <c r="V110" s="46" t="inlineStr">
        <is>
          <t>File Issue</t>
        </is>
      </c>
      <c r="W110" s="42" t="inlineStr"/>
    </row>
    <row r="111">
      <c r="A111" s="39" t="inlineStr">
        <is>
          <t>IT-2991475</t>
        </is>
      </c>
      <c r="B111" s="39" t="inlineStr">
        <is>
          <t>IT-2991475</t>
        </is>
      </c>
      <c r="C111" s="39" t="inlineStr"/>
      <c r="D111" s="40" t="inlineStr">
        <is>
          <t>DC-Pine - Pause Cirrus File Ingestion</t>
        </is>
      </c>
      <c r="E111" s="40" t="inlineStr">
        <is>
          <t>Hello Nile Team, Could you please pause the quarterly refresh file ingestion for UHC Cirrus. Also, please stop the one that is currently ongoing. It is slowing down Cosmos data load process which is due today. Thanks,</t>
        </is>
      </c>
      <c r="F111" s="40" t="inlineStr"/>
      <c r="G111" s="40" t="inlineStr">
        <is>
          <t>paused</t>
        </is>
      </c>
      <c r="H111" s="39" t="inlineStr">
        <is>
          <t>Other</t>
        </is>
      </c>
      <c r="I111" s="39" t="inlineStr">
        <is>
          <t>Other</t>
        </is>
      </c>
      <c r="J111" s="39" t="inlineStr"/>
      <c r="K111" s="39" t="inlineStr">
        <is>
          <t>Closed</t>
        </is>
      </c>
      <c r="L111" s="39" t="inlineStr">
        <is>
          <t>2026-04-15</t>
        </is>
      </c>
      <c r="M111" s="39" t="inlineStr">
        <is>
          <t>2026-04-16</t>
        </is>
      </c>
      <c r="N111" s="39" t="inlineStr">
        <is>
          <t>Nile Production Support</t>
        </is>
      </c>
      <c r="O111" s="39" t="inlineStr">
        <is>
          <t>Unassigned</t>
        </is>
      </c>
      <c r="P111" s="39" t="inlineStr">
        <is>
          <t>Dongol, Priya</t>
        </is>
      </c>
      <c r="Q111" s="39" t="inlineStr">
        <is>
          <t>Resolved</t>
        </is>
      </c>
      <c r="R111" s="40" t="inlineStr"/>
      <c r="S111" s="39" t="inlineStr"/>
      <c r="T111" s="39" t="inlineStr"/>
      <c r="U111" s="39" t="inlineStr"/>
      <c r="V111" s="49" t="inlineStr">
        <is>
          <t>File Issue</t>
        </is>
      </c>
      <c r="W111" s="39" t="inlineStr"/>
    </row>
    <row r="112">
      <c r="A112" s="42" t="inlineStr">
        <is>
          <t>IT-2991388</t>
        </is>
      </c>
      <c r="B112" s="42" t="inlineStr">
        <is>
          <t>IT-2991388</t>
        </is>
      </c>
      <c r="C112" s="42" t="inlineStr"/>
      <c r="D112" s="43" t="inlineStr">
        <is>
          <t>BCBSTN Notouch Prod Transition Documents</t>
        </is>
      </c>
      <c r="E112" s="43"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3" t="inlineStr"/>
      <c r="G112" s="43" t="inlineStr">
        <is>
          <t>Transition call scheduled after reviewing the documents and details recorded.</t>
        </is>
      </c>
      <c r="H112" s="42" t="inlineStr">
        <is>
          <t>Other</t>
        </is>
      </c>
      <c r="I112" s="42" t="inlineStr">
        <is>
          <t>Other</t>
        </is>
      </c>
      <c r="J112" s="42" t="inlineStr"/>
      <c r="K112" s="42" t="inlineStr">
        <is>
          <t>Closed</t>
        </is>
      </c>
      <c r="L112" s="42" t="inlineStr">
        <is>
          <t>2026-04-15</t>
        </is>
      </c>
      <c r="M112" s="42" t="inlineStr">
        <is>
          <t>2026-04-16</t>
        </is>
      </c>
      <c r="N112" s="42" t="inlineStr">
        <is>
          <t>Nile Production Support</t>
        </is>
      </c>
      <c r="O112" s="42" t="inlineStr">
        <is>
          <t>Unassigned</t>
        </is>
      </c>
      <c r="P112" s="42" t="inlineStr">
        <is>
          <t>Shaik, Parveena</t>
        </is>
      </c>
      <c r="Q112" s="42" t="inlineStr">
        <is>
          <t>Resolved</t>
        </is>
      </c>
      <c r="R112" s="43" t="inlineStr"/>
      <c r="S112" s="42" t="inlineStr"/>
      <c r="T112" s="42" t="inlineStr"/>
      <c r="U112" s="42" t="inlineStr"/>
      <c r="V112" s="57" t="inlineStr">
        <is>
          <t>Spooler issue</t>
        </is>
      </c>
      <c r="W112" s="42" t="inlineStr"/>
    </row>
    <row r="113">
      <c r="A113" s="39" t="inlineStr">
        <is>
          <t>IT-2990408</t>
        </is>
      </c>
      <c r="B113" s="39" t="inlineStr">
        <is>
          <t>IT-2990408</t>
        </is>
      </c>
      <c r="C113" s="39" t="inlineStr"/>
      <c r="D113" s="40" t="inlineStr">
        <is>
          <t>Request to Schedule dm-aetna-hrp-actian_migration_payment to Avoid Manual Trigger Dependency</t>
        </is>
      </c>
      <c r="E113" s="40"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40" t="inlineStr">
        <is>
          <t>Created, published and scheduld vrsion 1.7</t>
        </is>
      </c>
      <c r="G113" s="40" t="inlineStr">
        <is>
          <t>Created, tested, published and scheduled Version 1.7</t>
        </is>
      </c>
      <c r="H113" s="39" t="inlineStr">
        <is>
          <t>Other</t>
        </is>
      </c>
      <c r="I113" s="39" t="inlineStr">
        <is>
          <t>Other</t>
        </is>
      </c>
      <c r="J113" s="39" t="inlineStr"/>
      <c r="K113" s="39" t="inlineStr">
        <is>
          <t>Closed</t>
        </is>
      </c>
      <c r="L113" s="39" t="inlineStr">
        <is>
          <t>2026-04-15</t>
        </is>
      </c>
      <c r="M113" s="39" t="inlineStr">
        <is>
          <t>2026-04-16</t>
        </is>
      </c>
      <c r="N113" s="39" t="inlineStr">
        <is>
          <t>Nile Production Support</t>
        </is>
      </c>
      <c r="O113" s="39" t="inlineStr">
        <is>
          <t>Unassigned</t>
        </is>
      </c>
      <c r="P113" s="39" t="inlineStr">
        <is>
          <t>Raya, Birajan</t>
        </is>
      </c>
      <c r="Q113" s="39" t="inlineStr">
        <is>
          <t>Resolved</t>
        </is>
      </c>
      <c r="R113" s="40" t="inlineStr">
        <is>
          <t>Created, published and scheduld vrsion 1.7</t>
        </is>
      </c>
      <c r="S113" s="39" t="inlineStr"/>
      <c r="T113" s="39" t="inlineStr"/>
      <c r="U113" s="39" t="inlineStr"/>
      <c r="V113" s="45" t="inlineStr">
        <is>
          <t>Configuration Issue</t>
        </is>
      </c>
      <c r="W113" s="39" t="inlineStr"/>
    </row>
    <row r="114">
      <c r="A114" s="42" t="inlineStr">
        <is>
          <t>IT-2989834</t>
        </is>
      </c>
      <c r="B114" s="42" t="inlineStr">
        <is>
          <t>IT-2989834</t>
        </is>
      </c>
      <c r="C114" s="42" t="inlineStr"/>
      <c r="D114" s="43" t="inlineStr">
        <is>
          <t>CIGMC :: cigmc_daily_incoming_180050.04-14-2026_1910 file failure :: 04/14/2026</t>
        </is>
      </c>
      <c r="E114" s="43"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3" t="inlineStr">
        <is>
          <t>we successfully proceed the pipeline from our end. closed this ticket.</t>
        </is>
      </c>
      <c r="H114" s="42" t="inlineStr">
        <is>
          <t>Other</t>
        </is>
      </c>
      <c r="I114" s="42" t="inlineStr">
        <is>
          <t>Other</t>
        </is>
      </c>
      <c r="J114" s="42" t="inlineStr"/>
      <c r="K114" s="42" t="inlineStr">
        <is>
          <t>Closed</t>
        </is>
      </c>
      <c r="L114" s="42" t="inlineStr">
        <is>
          <t>2026-04-14</t>
        </is>
      </c>
      <c r="M114" s="42" t="inlineStr">
        <is>
          <t>2026-04-16</t>
        </is>
      </c>
      <c r="N114" s="42" t="inlineStr">
        <is>
          <t>Nile Production Support</t>
        </is>
      </c>
      <c r="O114" s="42" t="inlineStr">
        <is>
          <t>Unassigned</t>
        </is>
      </c>
      <c r="P114" s="42" t="inlineStr">
        <is>
          <t>Edwards, Andrea</t>
        </is>
      </c>
      <c r="Q114" s="42" t="inlineStr">
        <is>
          <t>Resolved</t>
        </is>
      </c>
      <c r="R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42" t="inlineStr"/>
      <c r="T114" s="42" t="inlineStr"/>
      <c r="U114" s="42" t="inlineStr"/>
      <c r="V114" s="46" t="inlineStr">
        <is>
          <t>File Issue</t>
        </is>
      </c>
      <c r="W114" s="42" t="inlineStr"/>
    </row>
    <row r="115">
      <c r="A115" s="39" t="inlineStr">
        <is>
          <t>IT-2989822</t>
        </is>
      </c>
      <c r="B115" s="39" t="inlineStr">
        <is>
          <t>IT-2989822</t>
        </is>
      </c>
      <c r="C115" s="39" t="inlineStr"/>
      <c r="D115" s="40" t="inlineStr">
        <is>
          <t>Please add Aetna ASH into Master Tracking Sheet</t>
        </is>
      </c>
      <c r="E115" s="40" t="inlineStr">
        <is>
          <t>Hi Jani, Would you mind adding Aetna ASH entries? I think we had a transition meeting on March 26th. Thx so much Jani melly</t>
        </is>
      </c>
      <c r="F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40" t="inlineStr">
        <is>
          <t>Details recorded in a sheet</t>
        </is>
      </c>
      <c r="H115" s="39" t="inlineStr">
        <is>
          <t>Other</t>
        </is>
      </c>
      <c r="I115" s="39" t="inlineStr">
        <is>
          <t>Other</t>
        </is>
      </c>
      <c r="J115" s="39" t="inlineStr"/>
      <c r="K115" s="39" t="inlineStr">
        <is>
          <t>Closed</t>
        </is>
      </c>
      <c r="L115" s="39" t="inlineStr">
        <is>
          <t>2026-04-14</t>
        </is>
      </c>
      <c r="M115" s="39" t="inlineStr">
        <is>
          <t>2026-04-15</t>
        </is>
      </c>
      <c r="N115" s="39" t="inlineStr">
        <is>
          <t>Nile Production Support</t>
        </is>
      </c>
      <c r="O115" s="39" t="inlineStr">
        <is>
          <t>Unassigned</t>
        </is>
      </c>
      <c r="P115" s="39" t="inlineStr">
        <is>
          <t>Suryani, Melly</t>
        </is>
      </c>
      <c r="Q115" s="39" t="inlineStr">
        <is>
          <t>Resolved</t>
        </is>
      </c>
      <c r="R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9" t="inlineStr"/>
      <c r="T115" s="39" t="inlineStr"/>
      <c r="U115" s="39" t="inlineStr"/>
      <c r="V115" s="51" t="inlineStr">
        <is>
          <t>Other</t>
        </is>
      </c>
      <c r="W115" s="39" t="inlineStr">
        <is>
          <t>Yes</t>
        </is>
      </c>
    </row>
    <row r="116">
      <c r="A116" s="42" t="inlineStr">
        <is>
          <t>IT-2989517</t>
        </is>
      </c>
      <c r="B116" s="42" t="inlineStr">
        <is>
          <t>IT-2989517</t>
        </is>
      </c>
      <c r="C116" s="42" t="inlineStr"/>
      <c r="D116" s="43" t="inlineStr">
        <is>
          <t>Fidelis Centene : Weekly(Member/Claims/Provider) schedule update for NILE spooler with pipelines</t>
        </is>
      </c>
      <c r="E116" s="43"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42" t="inlineStr">
        <is>
          <t>Other</t>
        </is>
      </c>
      <c r="I116" s="42" t="inlineStr">
        <is>
          <t>Other</t>
        </is>
      </c>
      <c r="J116" s="42" t="inlineStr"/>
      <c r="K116" s="42" t="inlineStr">
        <is>
          <t>Closed</t>
        </is>
      </c>
      <c r="L116" s="42" t="inlineStr">
        <is>
          <t>2026-04-14</t>
        </is>
      </c>
      <c r="M116" s="42" t="inlineStr">
        <is>
          <t>2026-04-20</t>
        </is>
      </c>
      <c r="N116" s="42" t="inlineStr">
        <is>
          <t>Nile Production Support</t>
        </is>
      </c>
      <c r="O116" s="42" t="inlineStr">
        <is>
          <t>Unassigned</t>
        </is>
      </c>
      <c r="P116" s="42" t="inlineStr">
        <is>
          <t>Hirpara, Meera</t>
        </is>
      </c>
      <c r="Q116" s="42" t="inlineStr">
        <is>
          <t>Resolved</t>
        </is>
      </c>
      <c r="R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42" t="inlineStr"/>
      <c r="T116" s="42" t="inlineStr"/>
      <c r="U116" s="42" t="inlineStr"/>
      <c r="V116" s="57" t="inlineStr">
        <is>
          <t>Spooler issue</t>
        </is>
      </c>
      <c r="W116" s="42" t="inlineStr"/>
    </row>
    <row r="117">
      <c r="A117" s="39" t="inlineStr">
        <is>
          <t>IT-2989515</t>
        </is>
      </c>
      <c r="B117" s="39" t="inlineStr">
        <is>
          <t>IT-2989515</t>
        </is>
      </c>
      <c r="C117" s="39" t="inlineStr"/>
      <c r="D117" s="40" t="inlineStr">
        <is>
          <t>Pipeline: dm-uhc-cirrus-actian_migration_entity_cir_cladeny , Version: V1, Data Date: 2026/01/12 | Broadcasts via spark.sql.broadcastTimeout Error</t>
        </is>
      </c>
      <c r="E117" s="40" t="inlineStr">
        <is>
          <t>klhsakfljhsajkd.hflkdsjhfldskjfh;dskjhfn;dsklfndsjklfh</t>
        </is>
      </c>
      <c r="F117" s="40" t="inlineStr">
        <is>
          <t>testing. not needed. thank you</t>
        </is>
      </c>
      <c r="G117" s="40" t="inlineStr"/>
      <c r="H117" s="39" t="inlineStr">
        <is>
          <t>Other</t>
        </is>
      </c>
      <c r="I117" s="39" t="inlineStr">
        <is>
          <t>Other</t>
        </is>
      </c>
      <c r="J117" s="39" t="inlineStr"/>
      <c r="K117" s="39" t="inlineStr">
        <is>
          <t>Cancelled</t>
        </is>
      </c>
      <c r="L117" s="39" t="inlineStr">
        <is>
          <t>2026-04-14</t>
        </is>
      </c>
      <c r="M117" s="39" t="inlineStr">
        <is>
          <t>2026-04-14</t>
        </is>
      </c>
      <c r="N117" s="39" t="inlineStr">
        <is>
          <t>Nile Production Support</t>
        </is>
      </c>
      <c r="O117" s="39" t="inlineStr">
        <is>
          <t>Unassigned</t>
        </is>
      </c>
      <c r="P117" s="39" t="inlineStr">
        <is>
          <t>Enid Ike</t>
        </is>
      </c>
      <c r="Q117" s="39" t="inlineStr">
        <is>
          <t>Cancelled</t>
        </is>
      </c>
      <c r="R117" s="40" t="inlineStr">
        <is>
          <t>testing. not needed. thank you</t>
        </is>
      </c>
      <c r="S117" s="39" t="inlineStr"/>
      <c r="T117" s="39" t="inlineStr"/>
      <c r="U117" s="39" t="inlineStr"/>
      <c r="V117" s="62" t="inlineStr">
        <is>
          <t>DB Issue</t>
        </is>
      </c>
      <c r="W117" s="39" t="inlineStr"/>
    </row>
    <row r="118">
      <c r="A118" s="42" t="inlineStr">
        <is>
          <t>IT-2989509</t>
        </is>
      </c>
      <c r="B118" s="42" t="inlineStr">
        <is>
          <t>IT-2989509</t>
        </is>
      </c>
      <c r="C118" s="42" t="inlineStr"/>
      <c r="D118" s="43" t="inlineStr">
        <is>
          <t>Molina RCCV Data Mapping</t>
        </is>
      </c>
      <c r="E118" s="43"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3" t="inlineStr">
        <is>
          <t>All investigative work on NILE Side is done. DRG mapping change will go on a separate ticket.</t>
        </is>
      </c>
      <c r="H118" s="42" t="inlineStr">
        <is>
          <t>Other</t>
        </is>
      </c>
      <c r="I118" s="42" t="inlineStr">
        <is>
          <t>Other</t>
        </is>
      </c>
      <c r="J118" s="42" t="inlineStr"/>
      <c r="K118" s="42" t="inlineStr">
        <is>
          <t>Closed</t>
        </is>
      </c>
      <c r="L118" s="42" t="inlineStr">
        <is>
          <t>2026-04-14</t>
        </is>
      </c>
      <c r="M118" s="42" t="inlineStr">
        <is>
          <t>2026-04-24</t>
        </is>
      </c>
      <c r="N118" s="42" t="inlineStr">
        <is>
          <t>Nile Production Support</t>
        </is>
      </c>
      <c r="O118" s="42" t="inlineStr">
        <is>
          <t>Unassigned</t>
        </is>
      </c>
      <c r="P118" s="42" t="inlineStr">
        <is>
          <t>Arevalo, Anna</t>
        </is>
      </c>
      <c r="Q118" s="42" t="inlineStr">
        <is>
          <t>Resolved</t>
        </is>
      </c>
      <c r="R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42" t="inlineStr"/>
      <c r="T118" s="42" t="inlineStr"/>
      <c r="U118" s="42" t="inlineStr"/>
      <c r="V118" s="54" t="inlineStr">
        <is>
          <t>Configuration Issue</t>
        </is>
      </c>
      <c r="W118" s="42" t="inlineStr"/>
    </row>
    <row r="119">
      <c r="A119" s="39" t="inlineStr">
        <is>
          <t>IT-2989421</t>
        </is>
      </c>
      <c r="B119" s="39" t="inlineStr">
        <is>
          <t>IT-2989421</t>
        </is>
      </c>
      <c r="C119" s="39" t="inlineStr"/>
      <c r="D119" s="40" t="inlineStr">
        <is>
          <t>Dataload : BCBS_MI_MEDADV claim file count</t>
        </is>
      </c>
      <c r="E119" s="40"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40" t="inlineStr"/>
      <c r="H119" s="39" t="inlineStr">
        <is>
          <t>Other</t>
        </is>
      </c>
      <c r="I119" s="39" t="inlineStr">
        <is>
          <t>Other</t>
        </is>
      </c>
      <c r="J119" s="39" t="inlineStr"/>
      <c r="K119" s="39" t="inlineStr">
        <is>
          <t>In Progress (HD1)</t>
        </is>
      </c>
      <c r="L119" s="39" t="inlineStr">
        <is>
          <t>2026-04-14</t>
        </is>
      </c>
      <c r="M119" s="39" t="inlineStr">
        <is>
          <t>2026-04-16</t>
        </is>
      </c>
      <c r="N119" s="39" t="inlineStr">
        <is>
          <t>Nile Production Support</t>
        </is>
      </c>
      <c r="O119" s="39" t="inlineStr">
        <is>
          <t>Unassigned</t>
        </is>
      </c>
      <c r="P119" s="39" t="inlineStr">
        <is>
          <t>KC, Sanjeeb</t>
        </is>
      </c>
      <c r="Q119" s="39" t="inlineStr">
        <is>
          <t>Unresolved</t>
        </is>
      </c>
      <c r="R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9" t="inlineStr"/>
      <c r="T119" s="39" t="inlineStr"/>
      <c r="U119" s="39" t="inlineStr"/>
      <c r="V119" s="53" t="inlineStr">
        <is>
          <t>Spooler issue</t>
        </is>
      </c>
      <c r="W119" s="39" t="inlineStr"/>
    </row>
    <row r="120">
      <c r="A120" s="42" t="inlineStr">
        <is>
          <t>IT-2988798</t>
        </is>
      </c>
      <c r="B120" s="42" t="inlineStr">
        <is>
          <t>IT-2988798</t>
        </is>
      </c>
      <c r="C120" s="42" t="inlineStr"/>
      <c r="D120" s="43" t="inlineStr">
        <is>
          <t>Unmatched mbr_enrollment raw data count | Pipeline: dm-centene-centene-actian_migration_member_enrollment Data Date: 2026/04/12 | Zero Ingested Row Count</t>
        </is>
      </c>
      <c r="E120" s="43"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3" t="inlineStr">
        <is>
          <t>closing out ticket. Ticket not needed. Duplicate</t>
        </is>
      </c>
      <c r="G120" s="43" t="inlineStr">
        <is>
          <t>closing out ticket. Ticket not needed. Duplicate</t>
        </is>
      </c>
      <c r="H120" s="42" t="inlineStr">
        <is>
          <t>Other</t>
        </is>
      </c>
      <c r="I120" s="42" t="inlineStr">
        <is>
          <t>Other</t>
        </is>
      </c>
      <c r="J120" s="42" t="inlineStr"/>
      <c r="K120" s="42" t="inlineStr">
        <is>
          <t>Closed</t>
        </is>
      </c>
      <c r="L120" s="42" t="inlineStr">
        <is>
          <t>2026-04-14</t>
        </is>
      </c>
      <c r="M120" s="42" t="inlineStr">
        <is>
          <t>2026-04-14</t>
        </is>
      </c>
      <c r="N120" s="42" t="inlineStr">
        <is>
          <t>Nile Production Support</t>
        </is>
      </c>
      <c r="O120" s="42" t="inlineStr">
        <is>
          <t>Unassigned</t>
        </is>
      </c>
      <c r="P120" s="42" t="inlineStr">
        <is>
          <t>Enid Ike</t>
        </is>
      </c>
      <c r="Q120" s="42" t="inlineStr">
        <is>
          <t>Resolved</t>
        </is>
      </c>
      <c r="R120" s="43" t="inlineStr">
        <is>
          <t>closing out ticket. Ticket not needed. Duplicate</t>
        </is>
      </c>
      <c r="S120" s="42" t="inlineStr"/>
      <c r="T120" s="42" t="inlineStr"/>
      <c r="U120" s="42" t="inlineStr"/>
      <c r="V120" s="52" t="inlineStr">
        <is>
          <t>Data Issue</t>
        </is>
      </c>
      <c r="W120" s="42" t="inlineStr"/>
    </row>
    <row r="121">
      <c r="A121" s="39" t="inlineStr">
        <is>
          <t>IT-2988756</t>
        </is>
      </c>
      <c r="B121" s="39" t="inlineStr">
        <is>
          <t>IT-2988756</t>
        </is>
      </c>
      <c r="C121" s="39" t="inlineStr"/>
      <c r="D121" s="40" t="inlineStr">
        <is>
          <t>uhc -cirrus pipeline failed due to schema mismatch(2026/04/06)</t>
        </is>
      </c>
      <c r="E121" s="40"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40" t="inlineStr"/>
      <c r="G121" s="40" t="inlineStr">
        <is>
          <t>tasks completed</t>
        </is>
      </c>
      <c r="H121" s="39" t="inlineStr">
        <is>
          <t>Other</t>
        </is>
      </c>
      <c r="I121" s="39" t="inlineStr">
        <is>
          <t>Other</t>
        </is>
      </c>
      <c r="J121" s="39" t="inlineStr"/>
      <c r="K121" s="39" t="inlineStr">
        <is>
          <t>Closed</t>
        </is>
      </c>
      <c r="L121" s="39" t="inlineStr">
        <is>
          <t>2026-04-14</t>
        </is>
      </c>
      <c r="M121" s="39" t="inlineStr">
        <is>
          <t>2026-05-06</t>
        </is>
      </c>
      <c r="N121" s="39" t="inlineStr">
        <is>
          <t>Nile Production Support</t>
        </is>
      </c>
      <c r="O121" s="39" t="inlineStr">
        <is>
          <t>Unassigned</t>
        </is>
      </c>
      <c r="P121" s="39" t="inlineStr">
        <is>
          <t>Limbu, Sajan</t>
        </is>
      </c>
      <c r="Q121" s="39" t="inlineStr">
        <is>
          <t>Resolved</t>
        </is>
      </c>
      <c r="R121" s="40" t="inlineStr"/>
      <c r="S121" s="39" t="inlineStr"/>
      <c r="T121" s="39" t="inlineStr"/>
      <c r="U121" s="39" t="inlineStr"/>
      <c r="V121" s="41" t="inlineStr">
        <is>
          <t>Schema issue</t>
        </is>
      </c>
      <c r="W121" s="39" t="inlineStr"/>
    </row>
    <row r="122">
      <c r="A122" s="42" t="inlineStr">
        <is>
          <t>IT-2988718</t>
        </is>
      </c>
      <c r="B122" s="42" t="inlineStr">
        <is>
          <t>IT-2988718</t>
        </is>
      </c>
      <c r="C122" s="42" t="inlineStr"/>
      <c r="D122" s="43" t="inlineStr">
        <is>
          <t>Tufts weekly files pipelines loading older files past previous month.</t>
        </is>
      </c>
      <c r="E122" s="43"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3" t="inlineStr"/>
      <c r="H122" s="42" t="inlineStr">
        <is>
          <t>Other</t>
        </is>
      </c>
      <c r="I122" s="42" t="inlineStr">
        <is>
          <t>Other</t>
        </is>
      </c>
      <c r="J122" s="42" t="inlineStr"/>
      <c r="K122" s="42" t="inlineStr">
        <is>
          <t>On Hold</t>
        </is>
      </c>
      <c r="L122" s="42" t="inlineStr">
        <is>
          <t>2026-04-14</t>
        </is>
      </c>
      <c r="M122" s="42" t="inlineStr">
        <is>
          <t>2026-04-20</t>
        </is>
      </c>
      <c r="N122" s="42" t="inlineStr">
        <is>
          <t>Nile Production Support</t>
        </is>
      </c>
      <c r="O122" s="42" t="inlineStr">
        <is>
          <t>Unassigned</t>
        </is>
      </c>
      <c r="P122" s="42" t="inlineStr">
        <is>
          <t>Trivedi Shukla, Zarna</t>
        </is>
      </c>
      <c r="Q122" s="42" t="inlineStr">
        <is>
          <t>Unresolved</t>
        </is>
      </c>
      <c r="R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42" t="inlineStr"/>
      <c r="T122" s="42" t="inlineStr"/>
      <c r="U122" s="42" t="inlineStr"/>
      <c r="V122" s="59" t="inlineStr">
        <is>
          <t>Metric drop</t>
        </is>
      </c>
      <c r="W122" s="42" t="inlineStr"/>
    </row>
    <row r="123">
      <c r="A123" s="39" t="inlineStr">
        <is>
          <t>IT-2988716</t>
        </is>
      </c>
      <c r="B123" s="39" t="inlineStr">
        <is>
          <t>IT-2988716</t>
        </is>
      </c>
      <c r="C123" s="39" t="inlineStr"/>
      <c r="D123" s="40" t="inlineStr">
        <is>
          <t>ARD-Prod Apr - 2026 Humana Retro Process</t>
        </is>
      </c>
      <c r="E123" s="40" t="inlineStr">
        <is>
          <t>ARD-Prod Apr - 2026 Humana Retro Process</t>
        </is>
      </c>
      <c r="F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40" t="inlineStr">
        <is>
          <t>Generated files to Finance and send email to respective members Process complete.</t>
        </is>
      </c>
      <c r="H123" s="39" t="inlineStr">
        <is>
          <t>Other</t>
        </is>
      </c>
      <c r="I123" s="39" t="inlineStr">
        <is>
          <t>Other</t>
        </is>
      </c>
      <c r="J123" s="39" t="inlineStr"/>
      <c r="K123" s="39" t="inlineStr">
        <is>
          <t>Closed</t>
        </is>
      </c>
      <c r="L123" s="39" t="inlineStr">
        <is>
          <t>2026-04-14</t>
        </is>
      </c>
      <c r="M123" s="39" t="inlineStr">
        <is>
          <t>2026-04-23</t>
        </is>
      </c>
      <c r="N123" s="39" t="inlineStr">
        <is>
          <t>Nile Production Support</t>
        </is>
      </c>
      <c r="O123" s="39" t="inlineStr">
        <is>
          <t>Unassigned</t>
        </is>
      </c>
      <c r="P123" s="39" t="inlineStr">
        <is>
          <t>Birney, Kevin</t>
        </is>
      </c>
      <c r="Q123" s="39" t="inlineStr">
        <is>
          <t>Resolved</t>
        </is>
      </c>
      <c r="R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9" t="inlineStr"/>
      <c r="T123" s="39" t="inlineStr"/>
      <c r="U123" s="39" t="inlineStr"/>
      <c r="V123" s="51" t="inlineStr">
        <is>
          <t>Other</t>
        </is>
      </c>
      <c r="W123" s="39" t="inlineStr">
        <is>
          <t>Yes</t>
        </is>
      </c>
    </row>
    <row r="124">
      <c r="A124" s="42" t="inlineStr">
        <is>
          <t>IT-2988711</t>
        </is>
      </c>
      <c r="B124" s="42" t="inlineStr">
        <is>
          <t>IT-2988711</t>
        </is>
      </c>
      <c r="C124" s="42" t="inlineStr"/>
      <c r="D124" s="43" t="inlineStr">
        <is>
          <t>ARD-Prod: Run the UhCsp dups pipeline for Apr - 2026 (pulling Mar - 2026 data) RCA Job</t>
        </is>
      </c>
      <c r="E124" s="43" t="inlineStr">
        <is>
          <t>ARD-Prod: Run the UhCsp dups pipeline for Apr - 2026 (pulling Mar - 2026 data) RCA Job</t>
        </is>
      </c>
      <c r="F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3" t="inlineStr">
        <is>
          <t>Step 4 Job Completed QA checks are done. Send email to respective members</t>
        </is>
      </c>
      <c r="H124" s="42" t="inlineStr">
        <is>
          <t>Other</t>
        </is>
      </c>
      <c r="I124" s="42" t="inlineStr">
        <is>
          <t>Other</t>
        </is>
      </c>
      <c r="J124" s="42" t="inlineStr"/>
      <c r="K124" s="42" t="inlineStr">
        <is>
          <t>Closed</t>
        </is>
      </c>
      <c r="L124" s="42" t="inlineStr">
        <is>
          <t>2026-04-14</t>
        </is>
      </c>
      <c r="M124" s="42" t="inlineStr">
        <is>
          <t>2026-04-21</t>
        </is>
      </c>
      <c r="N124" s="42" t="inlineStr">
        <is>
          <t>Nile Production Support</t>
        </is>
      </c>
      <c r="O124" s="42" t="inlineStr">
        <is>
          <t>Unassigned</t>
        </is>
      </c>
      <c r="P124" s="42" t="inlineStr">
        <is>
          <t>Birney, Kevin</t>
        </is>
      </c>
      <c r="Q124" s="42" t="inlineStr">
        <is>
          <t>Resolved</t>
        </is>
      </c>
      <c r="R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42" t="inlineStr"/>
      <c r="T124" s="42" t="inlineStr"/>
      <c r="U124" s="42" t="inlineStr"/>
      <c r="V124" s="50" t="inlineStr">
        <is>
          <t>Other</t>
        </is>
      </c>
      <c r="W124" s="42" t="inlineStr">
        <is>
          <t>Yes</t>
        </is>
      </c>
    </row>
    <row r="125">
      <c r="A125" s="39" t="inlineStr">
        <is>
          <t>IT-2988698</t>
        </is>
      </c>
      <c r="B125" s="39" t="inlineStr">
        <is>
          <t>IT-2988698</t>
        </is>
      </c>
      <c r="C125" s="39" t="inlineStr"/>
      <c r="D125" s="40" t="inlineStr">
        <is>
          <t>BCBSMI Replacement files for duplication issue(RCASA-76258)</t>
        </is>
      </c>
      <c r="E125" s="40"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40" t="inlineStr"/>
      <c r="G125" s="40" t="inlineStr"/>
      <c r="H125" s="39" t="inlineStr">
        <is>
          <t>Other</t>
        </is>
      </c>
      <c r="I125" s="39" t="inlineStr">
        <is>
          <t>Other</t>
        </is>
      </c>
      <c r="J125" s="39" t="inlineStr"/>
      <c r="K125" s="39" t="inlineStr">
        <is>
          <t>Open</t>
        </is>
      </c>
      <c r="L125" s="39" t="inlineStr">
        <is>
          <t>2026-04-14</t>
        </is>
      </c>
      <c r="M125" s="39" t="inlineStr">
        <is>
          <t>2026-04-15</t>
        </is>
      </c>
      <c r="N125" s="39" t="inlineStr">
        <is>
          <t>Nile Production Support</t>
        </is>
      </c>
      <c r="O125" s="39" t="inlineStr">
        <is>
          <t>Unassigned</t>
        </is>
      </c>
      <c r="P125" s="39" t="inlineStr">
        <is>
          <t>KC, Sanjeeb</t>
        </is>
      </c>
      <c r="Q125" s="39" t="inlineStr">
        <is>
          <t>Unresolved</t>
        </is>
      </c>
      <c r="R125" s="40" t="inlineStr"/>
      <c r="S125" s="39" t="inlineStr"/>
      <c r="T125" s="39" t="inlineStr"/>
      <c r="U125" s="39" t="inlineStr"/>
      <c r="V125" s="61" t="inlineStr">
        <is>
          <t>Pipeline Schedule</t>
        </is>
      </c>
      <c r="W125" s="39" t="inlineStr"/>
    </row>
    <row r="126">
      <c r="A126" s="42" t="inlineStr">
        <is>
          <t>IT-2988581</t>
        </is>
      </c>
      <c r="B126" s="42" t="inlineStr">
        <is>
          <t>IT-2988581</t>
        </is>
      </c>
      <c r="C126" s="42" t="inlineStr"/>
      <c r="D126" s="43" t="inlineStr">
        <is>
          <t>Data Copy Request</t>
        </is>
      </c>
      <c r="E126" s="43" t="inlineStr">
        <is>
          <t>Hello Devatha, Satish , Kindly copy the Presbyterian HRP history files for the past two months (February and March). Thank you.</t>
        </is>
      </c>
      <c r="F126" s="43" t="inlineStr">
        <is>
          <t>Files are copied</t>
        </is>
      </c>
      <c r="G126" s="43" t="inlineStr">
        <is>
          <t>Files are copied</t>
        </is>
      </c>
      <c r="H126" s="42" t="inlineStr">
        <is>
          <t>Other</t>
        </is>
      </c>
      <c r="I126" s="42" t="inlineStr">
        <is>
          <t>Other</t>
        </is>
      </c>
      <c r="J126" s="42" t="inlineStr"/>
      <c r="K126" s="42" t="inlineStr">
        <is>
          <t>Closed</t>
        </is>
      </c>
      <c r="L126" s="42" t="inlineStr">
        <is>
          <t>2026-04-14</t>
        </is>
      </c>
      <c r="M126" s="42" t="inlineStr">
        <is>
          <t>2026-04-14</t>
        </is>
      </c>
      <c r="N126" s="42" t="inlineStr">
        <is>
          <t>Nile Production Support</t>
        </is>
      </c>
      <c r="O126" s="42" t="inlineStr">
        <is>
          <t>Unassigned</t>
        </is>
      </c>
      <c r="P126" s="42" t="inlineStr">
        <is>
          <t>Karakavalasa, SriVarshini</t>
        </is>
      </c>
      <c r="Q126" s="42" t="inlineStr">
        <is>
          <t>Resolved</t>
        </is>
      </c>
      <c r="R126" s="43" t="inlineStr">
        <is>
          <t>Files are copied</t>
        </is>
      </c>
      <c r="S126" s="42" t="inlineStr"/>
      <c r="T126" s="42" t="inlineStr"/>
      <c r="U126" s="42" t="inlineStr"/>
      <c r="V126" s="50" t="inlineStr">
        <is>
          <t>Other</t>
        </is>
      </c>
      <c r="W126" s="42" t="inlineStr">
        <is>
          <t>Yes</t>
        </is>
      </c>
    </row>
    <row r="127">
      <c r="A127" s="39" t="inlineStr">
        <is>
          <t>IT-2988483</t>
        </is>
      </c>
      <c r="B127" s="39" t="inlineStr">
        <is>
          <t>IT-2988483</t>
        </is>
      </c>
      <c r="C127" s="39" t="inlineStr"/>
      <c r="D127" s="40" t="inlineStr">
        <is>
          <t>Request to ingest Aetna CAQH file -COB Smart Cotoviti 040426.zip</t>
        </is>
      </c>
      <c r="E127" s="40"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40" t="inlineStr">
        <is>
          <t>Edited 3 spoolers and pipelines to process the new filename pattern. Vandanath, Teena confirmed that the files have been ingested successfully</t>
        </is>
      </c>
      <c r="G127" s="40" t="inlineStr">
        <is>
          <t>spoolers were changed to allow the misspelled file name pattern same with the pipeline</t>
        </is>
      </c>
      <c r="H127" s="39" t="inlineStr">
        <is>
          <t>Other</t>
        </is>
      </c>
      <c r="I127" s="39" t="inlineStr">
        <is>
          <t>Other</t>
        </is>
      </c>
      <c r="J127" s="39" t="inlineStr"/>
      <c r="K127" s="39" t="inlineStr">
        <is>
          <t>Closed</t>
        </is>
      </c>
      <c r="L127" s="39" t="inlineStr">
        <is>
          <t>2026-04-14</t>
        </is>
      </c>
      <c r="M127" s="39" t="inlineStr">
        <is>
          <t>2026-04-14</t>
        </is>
      </c>
      <c r="N127" s="39" t="inlineStr">
        <is>
          <t>Nile Production Support</t>
        </is>
      </c>
      <c r="O127" s="39" t="inlineStr">
        <is>
          <t>Unassigned</t>
        </is>
      </c>
      <c r="P127" s="39" t="inlineStr">
        <is>
          <t>Vandanath, Teena</t>
        </is>
      </c>
      <c r="Q127" s="39" t="inlineStr">
        <is>
          <t>Resolved</t>
        </is>
      </c>
      <c r="R127" s="40" t="inlineStr">
        <is>
          <t>Edited 3 spoolers and pipelines to process the new filename pattern. Vandanath, Teena confirmed that the files have been ingested successfully</t>
        </is>
      </c>
      <c r="S127" s="39" t="inlineStr"/>
      <c r="T127" s="39" t="inlineStr"/>
      <c r="U127" s="39" t="inlineStr"/>
      <c r="V127" s="51" t="inlineStr">
        <is>
          <t>Other</t>
        </is>
      </c>
      <c r="W127" s="39" t="inlineStr">
        <is>
          <t>Yes</t>
        </is>
      </c>
    </row>
    <row r="128">
      <c r="A128" s="42" t="inlineStr">
        <is>
          <t>IT-2988358</t>
        </is>
      </c>
      <c r="B128" s="42" t="inlineStr">
        <is>
          <t>IT-2988358</t>
        </is>
      </c>
      <c r="C128" s="42" t="inlineStr"/>
      <c r="D128" s="43" t="inlineStr">
        <is>
          <t>Please help load UHC Cirrus files from last week</t>
        </is>
      </c>
      <c r="E128" s="43"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3" t="inlineStr"/>
      <c r="H128" s="42" t="inlineStr">
        <is>
          <t>Other</t>
        </is>
      </c>
      <c r="I128" s="42" t="inlineStr">
        <is>
          <t>Other</t>
        </is>
      </c>
      <c r="J128" s="42" t="inlineStr"/>
      <c r="K128" s="42" t="inlineStr">
        <is>
          <t>Cancelled</t>
        </is>
      </c>
      <c r="L128" s="42" t="inlineStr">
        <is>
          <t>2026-04-14</t>
        </is>
      </c>
      <c r="M128" s="42" t="inlineStr">
        <is>
          <t>2026-04-15</t>
        </is>
      </c>
      <c r="N128" s="42" t="inlineStr">
        <is>
          <t>Nile Production Support</t>
        </is>
      </c>
      <c r="O128" s="42" t="inlineStr">
        <is>
          <t>Unassigned</t>
        </is>
      </c>
      <c r="P128" s="42" t="inlineStr">
        <is>
          <t>Tang, Chao</t>
        </is>
      </c>
      <c r="Q128" s="42" t="inlineStr">
        <is>
          <t>Cancelled</t>
        </is>
      </c>
      <c r="R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42" t="inlineStr"/>
      <c r="T128" s="42" t="inlineStr"/>
      <c r="U128" s="42" t="inlineStr"/>
      <c r="V128" s="46" t="inlineStr">
        <is>
          <t>File Issue</t>
        </is>
      </c>
      <c r="W128" s="42" t="inlineStr"/>
    </row>
    <row r="129">
      <c r="A129" s="39" t="inlineStr">
        <is>
          <t>IT-2988285</t>
        </is>
      </c>
      <c r="B129" s="39" t="inlineStr">
        <is>
          <t>IT-2988285</t>
        </is>
      </c>
      <c r="C129" s="39" t="inlineStr"/>
      <c r="D129" s="40" t="inlineStr">
        <is>
          <t>Peer review for oscar - homegrown</t>
        </is>
      </c>
      <c r="E129" s="40" t="inlineStr">
        <is>
          <t>Reviewed the Oscar homegrown data against the old dataset and the runs using the new PPM template, validation was completed with Puchakayala, Ranadeep and everything looks good. We are ready to proceed to production.</t>
        </is>
      </c>
      <c r="F129" s="40" t="inlineStr"/>
      <c r="G129" s="40" t="inlineStr">
        <is>
          <t>Reviewed and scheduled</t>
        </is>
      </c>
      <c r="H129" s="39" t="inlineStr">
        <is>
          <t>Other</t>
        </is>
      </c>
      <c r="I129" s="39" t="inlineStr">
        <is>
          <t>Other</t>
        </is>
      </c>
      <c r="J129" s="39" t="inlineStr"/>
      <c r="K129" s="39" t="inlineStr">
        <is>
          <t>Closed</t>
        </is>
      </c>
      <c r="L129" s="39" t="inlineStr">
        <is>
          <t>2026-04-14</t>
        </is>
      </c>
      <c r="M129" s="39" t="inlineStr">
        <is>
          <t>2026-04-27</t>
        </is>
      </c>
      <c r="N129" s="39" t="inlineStr">
        <is>
          <t>Nile Production Support</t>
        </is>
      </c>
      <c r="O129" s="39" t="inlineStr">
        <is>
          <t>Unassigned</t>
        </is>
      </c>
      <c r="P129" s="39" t="inlineStr">
        <is>
          <t>Karakavalasa, SriVarshini</t>
        </is>
      </c>
      <c r="Q129" s="39" t="inlineStr">
        <is>
          <t>Done</t>
        </is>
      </c>
      <c r="R129" s="40" t="inlineStr"/>
      <c r="S129" s="39" t="inlineStr"/>
      <c r="T129" s="39" t="inlineStr"/>
      <c r="U129" s="39" t="inlineStr"/>
      <c r="V129" s="51" t="inlineStr">
        <is>
          <t>Other</t>
        </is>
      </c>
      <c r="W129" s="39" t="inlineStr">
        <is>
          <t>Yes</t>
        </is>
      </c>
    </row>
    <row r="130">
      <c r="A130" s="42" t="inlineStr">
        <is>
          <t>IT-2988239</t>
        </is>
      </c>
      <c r="B130" s="42" t="inlineStr">
        <is>
          <t>IT-2988239</t>
        </is>
      </c>
      <c r="C130" s="42" t="inlineStr"/>
      <c r="D130" s="43" t="inlineStr">
        <is>
          <t>Requesting replacement file for Wellmark QC test tba file due to same sequence number in both the files</t>
        </is>
      </c>
      <c r="E130" s="43"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3" t="inlineStr"/>
      <c r="H130" s="42" t="inlineStr">
        <is>
          <t>Other</t>
        </is>
      </c>
      <c r="I130" s="42" t="inlineStr">
        <is>
          <t>Other</t>
        </is>
      </c>
      <c r="J130" s="42" t="inlineStr"/>
      <c r="K130" s="42" t="inlineStr">
        <is>
          <t>On Hold</t>
        </is>
      </c>
      <c r="L130" s="42" t="inlineStr">
        <is>
          <t>2026-04-14</t>
        </is>
      </c>
      <c r="M130" s="42" t="inlineStr">
        <is>
          <t>2026-05-06</t>
        </is>
      </c>
      <c r="N130" s="42" t="inlineStr">
        <is>
          <t>Nile Production Support</t>
        </is>
      </c>
      <c r="O130" s="42" t="inlineStr">
        <is>
          <t>Unassigned</t>
        </is>
      </c>
      <c r="P130" s="42" t="inlineStr">
        <is>
          <t>Raya, Birajan</t>
        </is>
      </c>
      <c r="Q130" s="42" t="inlineStr">
        <is>
          <t>Unresolved</t>
        </is>
      </c>
      <c r="R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42" t="inlineStr"/>
      <c r="T130" s="42" t="inlineStr"/>
      <c r="U130" s="42" t="inlineStr"/>
      <c r="V130" s="46" t="inlineStr">
        <is>
          <t>File Issue</t>
        </is>
      </c>
      <c r="W130" s="42" t="inlineStr"/>
    </row>
    <row r="131">
      <c r="A131" s="39" t="inlineStr">
        <is>
          <t>IT-2988083</t>
        </is>
      </c>
      <c r="B131" s="39" t="inlineStr">
        <is>
          <t>IT-2988083</t>
        </is>
      </c>
      <c r="C131" s="39" t="inlineStr"/>
      <c r="D131" s="40" t="inlineStr">
        <is>
          <t>Unmatched gdf_institutional_claims raw data count - 20260413_1 - prod - bcbssc-pbm-pharmacy_claims_custom_GDF2_5</t>
        </is>
      </c>
      <c r="E131" s="40" t="inlineStr">
        <is>
          <t>The pipeline "bcbssc-pbm-pharmacy_claims_custom_GDF2_5" got failed due to rejected record. Please investigate and suggest. Email ref: Unmatched gdf_institutional_claims raw data count - 20260413_1 - prod - bcbssc-pbm-pharmacy_claims_custom_GDF2_5</t>
        </is>
      </c>
      <c r="F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40" t="inlineStr"/>
      <c r="H131" s="39" t="inlineStr">
        <is>
          <t>Other</t>
        </is>
      </c>
      <c r="I131" s="39" t="inlineStr">
        <is>
          <t>Other</t>
        </is>
      </c>
      <c r="J131" s="39" t="inlineStr"/>
      <c r="K131" s="39" t="inlineStr">
        <is>
          <t>On Hold</t>
        </is>
      </c>
      <c r="L131" s="39" t="inlineStr">
        <is>
          <t>2026-04-14</t>
        </is>
      </c>
      <c r="M131" s="39" t="inlineStr">
        <is>
          <t>2026-05-05</t>
        </is>
      </c>
      <c r="N131" s="39" t="inlineStr">
        <is>
          <t>Nile Production Support</t>
        </is>
      </c>
      <c r="O131" s="39" t="inlineStr">
        <is>
          <t>Unassigned</t>
        </is>
      </c>
      <c r="P131" s="39" t="inlineStr">
        <is>
          <t>Bhattarai, Krishna</t>
        </is>
      </c>
      <c r="Q131" s="39" t="inlineStr">
        <is>
          <t>Unresolved</t>
        </is>
      </c>
      <c r="R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9" t="inlineStr"/>
      <c r="T131" s="39" t="inlineStr"/>
      <c r="U131" s="39" t="inlineStr"/>
      <c r="V131" s="47" t="inlineStr">
        <is>
          <t>Data Issue</t>
        </is>
      </c>
      <c r="W131" s="39" t="inlineStr"/>
    </row>
    <row r="132">
      <c r="A132" s="42" t="inlineStr">
        <is>
          <t>IT-2988019</t>
        </is>
      </c>
      <c r="B132" s="42" t="inlineStr">
        <is>
          <t>IT-2988019</t>
        </is>
      </c>
      <c r="C132" s="42" t="inlineStr"/>
      <c r="D132" s="43" t="inlineStr">
        <is>
          <t>OLA Configuration Changes and Monitoring on TRIMA</t>
        </is>
      </c>
      <c r="E132" s="43" t="inlineStr">
        <is>
          <t>I have made configuration changes in OLA, including adding buffer time. I will monitor a few executions and confirm that the changes are working as expected.</t>
        </is>
      </c>
      <c r="F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3" t="inlineStr"/>
      <c r="H132" s="42" t="inlineStr">
        <is>
          <t>Other</t>
        </is>
      </c>
      <c r="I132" s="42" t="inlineStr">
        <is>
          <t>Other</t>
        </is>
      </c>
      <c r="J132" s="42" t="inlineStr"/>
      <c r="K132" s="42" t="inlineStr">
        <is>
          <t>On Hold</t>
        </is>
      </c>
      <c r="L132" s="42" t="inlineStr">
        <is>
          <t>2026-04-14</t>
        </is>
      </c>
      <c r="M132" s="42" t="inlineStr">
        <is>
          <t>2026-05-05</t>
        </is>
      </c>
      <c r="N132" s="42" t="inlineStr">
        <is>
          <t>Nile Production Support</t>
        </is>
      </c>
      <c r="O132" s="42" t="inlineStr">
        <is>
          <t>Unassigned</t>
        </is>
      </c>
      <c r="P132" s="42" t="inlineStr">
        <is>
          <t>Bhattarai, Krishna</t>
        </is>
      </c>
      <c r="Q132" s="42" t="inlineStr">
        <is>
          <t>Unresolved</t>
        </is>
      </c>
      <c r="R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42" t="inlineStr"/>
      <c r="T132" s="42" t="inlineStr"/>
      <c r="U132" s="42" t="inlineStr"/>
      <c r="V132" s="54" t="inlineStr">
        <is>
          <t>Configuration Issue</t>
        </is>
      </c>
      <c r="W132" s="42" t="inlineStr"/>
    </row>
    <row r="133">
      <c r="A133" s="39" t="inlineStr">
        <is>
          <t>IT-2988016</t>
        </is>
      </c>
      <c r="B133" s="39" t="inlineStr">
        <is>
          <t>IT-2988016</t>
        </is>
      </c>
      <c r="C133" s="39" t="inlineStr"/>
      <c r="D133" s="40" t="inlineStr">
        <is>
          <t>OLA Configuration Changes and Monitoring on TRICM</t>
        </is>
      </c>
      <c r="E133" s="40" t="inlineStr">
        <is>
          <t>I have made configuration changes in OLA, including adding buffer time. I will monitor a few executions and confirm that the changes are working as expected.</t>
        </is>
      </c>
      <c r="F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40" t="inlineStr"/>
      <c r="H133" s="39" t="inlineStr">
        <is>
          <t>Other</t>
        </is>
      </c>
      <c r="I133" s="39" t="inlineStr">
        <is>
          <t>Other</t>
        </is>
      </c>
      <c r="J133" s="39" t="inlineStr"/>
      <c r="K133" s="39" t="inlineStr">
        <is>
          <t>On Hold</t>
        </is>
      </c>
      <c r="L133" s="39" t="inlineStr">
        <is>
          <t>2026-04-14</t>
        </is>
      </c>
      <c r="M133" s="39" t="inlineStr">
        <is>
          <t>2026-05-05</t>
        </is>
      </c>
      <c r="N133" s="39" t="inlineStr">
        <is>
          <t>Nile Production Support</t>
        </is>
      </c>
      <c r="O133" s="39" t="inlineStr">
        <is>
          <t>Unassigned</t>
        </is>
      </c>
      <c r="P133" s="39" t="inlineStr">
        <is>
          <t>Bhattarai, Krishna</t>
        </is>
      </c>
      <c r="Q133" s="39" t="inlineStr">
        <is>
          <t>Unresolved</t>
        </is>
      </c>
      <c r="R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9" t="inlineStr"/>
      <c r="T133" s="39" t="inlineStr"/>
      <c r="U133" s="39" t="inlineStr"/>
      <c r="V133" s="45" t="inlineStr">
        <is>
          <t>Configuration Issue</t>
        </is>
      </c>
      <c r="W133" s="39" t="inlineStr"/>
    </row>
    <row r="134">
      <c r="A134" s="42" t="inlineStr">
        <is>
          <t>IT-2987699</t>
        </is>
      </c>
      <c r="B134" s="42" t="inlineStr">
        <is>
          <t>IT-2987699</t>
        </is>
      </c>
      <c r="C134" s="42" t="inlineStr"/>
      <c r="D134" s="43" t="inlineStr">
        <is>
          <t>Unmatched mbr_enrollment raw data count - 20260412_1 - prod - dm-centene-centene-actian_migration_member_enrollment</t>
        </is>
      </c>
      <c r="E134" s="43" t="inlineStr">
        <is>
          <t>The pipeline got failed due to unmatched record, please investigate and suggest. Email ref: Unmatched mbr_enrollment raw data count - 20260412_1 - prod - dm-centene-centene-actian_migration_member_enrollment</t>
        </is>
      </c>
      <c r="F134" s="43" t="inlineStr">
        <is>
          <t>There is another ticket already opened yesterday on 4/13: IT-2987468</t>
        </is>
      </c>
      <c r="G134" s="43" t="inlineStr"/>
      <c r="H134" s="42" t="inlineStr">
        <is>
          <t>Other</t>
        </is>
      </c>
      <c r="I134" s="42" t="inlineStr">
        <is>
          <t>Other</t>
        </is>
      </c>
      <c r="J134" s="42" t="inlineStr"/>
      <c r="K134" s="42" t="inlineStr">
        <is>
          <t>Cancelled</t>
        </is>
      </c>
      <c r="L134" s="42" t="inlineStr">
        <is>
          <t>2026-04-13</t>
        </is>
      </c>
      <c r="M134" s="42" t="inlineStr">
        <is>
          <t>2026-04-14</t>
        </is>
      </c>
      <c r="N134" s="42" t="inlineStr">
        <is>
          <t>Nile Production Support</t>
        </is>
      </c>
      <c r="O134" s="42" t="inlineStr">
        <is>
          <t>Unassigned</t>
        </is>
      </c>
      <c r="P134" s="42" t="inlineStr">
        <is>
          <t>Bhattarai, Krishna</t>
        </is>
      </c>
      <c r="Q134" s="42" t="inlineStr">
        <is>
          <t>Cancelled</t>
        </is>
      </c>
      <c r="R134" s="43" t="inlineStr">
        <is>
          <t>There is another ticket already opened yesterday on 4/13: IT-2987468</t>
        </is>
      </c>
      <c r="S134" s="42" t="inlineStr"/>
      <c r="T134" s="42" t="inlineStr"/>
      <c r="U134" s="42" t="inlineStr"/>
      <c r="V134" s="63" t="inlineStr">
        <is>
          <t>Unmatched raw data count</t>
        </is>
      </c>
      <c r="W134" s="42" t="inlineStr"/>
    </row>
    <row r="135">
      <c r="A135" s="39" t="inlineStr">
        <is>
          <t>IT-2987546</t>
        </is>
      </c>
      <c r="B135" s="39" t="inlineStr">
        <is>
          <t>IT-2987546</t>
        </is>
      </c>
      <c r="C135" s="39" t="inlineStr"/>
      <c r="D135" s="40" t="inlineStr">
        <is>
          <t>Please ingest file COSMOS_CLAIM_ASONON_OUT_APR26.txt.gz.pgp only for pipeline dm-uhc-cosmos-actian_migration_asoclaims (202604)</t>
        </is>
      </c>
      <c r="E135" s="40"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40" t="inlineStr">
        <is>
          <t>Edited the pipeline to just read ASONON files and filter out ASOFAC files. Once load is done then we edited the pipeline to include both files</t>
        </is>
      </c>
      <c r="H135" s="39" t="inlineStr">
        <is>
          <t>Other</t>
        </is>
      </c>
      <c r="I135" s="39" t="inlineStr">
        <is>
          <t>Other</t>
        </is>
      </c>
      <c r="J135" s="39" t="inlineStr"/>
      <c r="K135" s="39" t="inlineStr">
        <is>
          <t>Closed</t>
        </is>
      </c>
      <c r="L135" s="39" t="inlineStr">
        <is>
          <t>2026-04-13</t>
        </is>
      </c>
      <c r="M135" s="39" t="inlineStr">
        <is>
          <t>2026-04-14</t>
        </is>
      </c>
      <c r="N135" s="39" t="inlineStr">
        <is>
          <t>Nile Production Support</t>
        </is>
      </c>
      <c r="O135" s="39" t="inlineStr">
        <is>
          <t>Unassigned</t>
        </is>
      </c>
      <c r="P135" s="39" t="inlineStr">
        <is>
          <t>Suryani, Melly</t>
        </is>
      </c>
      <c r="Q135" s="39" t="inlineStr">
        <is>
          <t>Resolved</t>
        </is>
      </c>
      <c r="R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9" t="inlineStr"/>
      <c r="T135" s="39" t="inlineStr"/>
      <c r="U135" s="39" t="inlineStr"/>
      <c r="V135" s="53" t="inlineStr">
        <is>
          <t>Spooler issue</t>
        </is>
      </c>
      <c r="W135" s="39" t="inlineStr"/>
    </row>
    <row r="136">
      <c r="A136" s="42" t="inlineStr">
        <is>
          <t>IT-2987468</t>
        </is>
      </c>
      <c r="B136" s="42" t="inlineStr">
        <is>
          <t>IT-2987468</t>
        </is>
      </c>
      <c r="C136" s="42" t="inlineStr"/>
      <c r="D136" s="43" t="inlineStr">
        <is>
          <t>dm-centene-centene-actian_migration_member_enrollment</t>
        </is>
      </c>
      <c r="E136" s="43" t="inlineStr">
        <is>
          <t>dm-centene-centene-actian_migration_member_enrollment 2026/04/12 Data ingestion error causing 0 records to be ingested. Raw file schema is not matching the schema used. At a glance, it seems client reverted back to v3 schema</t>
        </is>
      </c>
      <c r="F136" s="43" t="inlineStr">
        <is>
          <t>Hi Easley, Keaton Need to request replacement file from client with latest schema as last week with 20260405 datadate. Received Replacement files with 20260414 pipeline is running now Thanks Satish Devatha pipeline completed</t>
        </is>
      </c>
      <c r="G136" s="43" t="inlineStr">
        <is>
          <t>pipeline completed</t>
        </is>
      </c>
      <c r="H136" s="42" t="inlineStr">
        <is>
          <t>Other</t>
        </is>
      </c>
      <c r="I136" s="42" t="inlineStr">
        <is>
          <t>Other</t>
        </is>
      </c>
      <c r="J136" s="42" t="inlineStr"/>
      <c r="K136" s="42" t="inlineStr">
        <is>
          <t>Closed</t>
        </is>
      </c>
      <c r="L136" s="42" t="inlineStr">
        <is>
          <t>2026-04-13</t>
        </is>
      </c>
      <c r="M136" s="42" t="inlineStr">
        <is>
          <t>2026-04-20</t>
        </is>
      </c>
      <c r="N136" s="42" t="inlineStr">
        <is>
          <t>Nile Production Support</t>
        </is>
      </c>
      <c r="O136" s="42" t="inlineStr">
        <is>
          <t>Unassigned</t>
        </is>
      </c>
      <c r="P136" s="42" t="inlineStr">
        <is>
          <t>Easley, Keaton</t>
        </is>
      </c>
      <c r="Q136" s="42" t="inlineStr">
        <is>
          <t>Resolved</t>
        </is>
      </c>
      <c r="R136" s="43" t="inlineStr">
        <is>
          <t>Hi Easley, Keaton Need to request replacement file from client with latest schema as last week with 20260405 datadate. Received Replacement files with 20260414 pipeline is running now Thanks Satish Devatha pipeline completed</t>
        </is>
      </c>
      <c r="S136" s="42" t="inlineStr"/>
      <c r="T136" s="42" t="inlineStr"/>
      <c r="U136" s="42" t="inlineStr"/>
      <c r="V136" s="52" t="inlineStr">
        <is>
          <t>Data Issue</t>
        </is>
      </c>
      <c r="W136" s="42" t="inlineStr"/>
    </row>
    <row r="137">
      <c r="A137" s="39" t="inlineStr">
        <is>
          <t>IT-2987004</t>
        </is>
      </c>
      <c r="B137" s="39" t="inlineStr">
        <is>
          <t>IT-2987004</t>
        </is>
      </c>
      <c r="C137" s="39" t="inlineStr"/>
      <c r="D137" s="40" t="inlineStr">
        <is>
          <t>Please Schedule the Pipeline to Run the CHC_AETNA_MTH_TRAD_SUPPORTFILES_NILE Control-M Flow</t>
        </is>
      </c>
      <c r="E137" s="40"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40" t="inlineStr">
        <is>
          <t>trigger_bmc_workflow_CHC_AETNA_MTH_TRAD_SUPPORTFILES_NILE was published and scheduled</t>
        </is>
      </c>
      <c r="H137" s="39" t="inlineStr"/>
      <c r="I137" s="39" t="inlineStr"/>
      <c r="J137" s="39" t="inlineStr"/>
      <c r="K137" s="39" t="inlineStr">
        <is>
          <t>Closed</t>
        </is>
      </c>
      <c r="L137" s="39" t="inlineStr">
        <is>
          <t>2026-04-13</t>
        </is>
      </c>
      <c r="M137" s="39" t="inlineStr">
        <is>
          <t>2026-04-13</t>
        </is>
      </c>
      <c r="N137" s="39" t="inlineStr">
        <is>
          <t>Nile Production Support</t>
        </is>
      </c>
      <c r="O137" s="39" t="inlineStr">
        <is>
          <t>Unassigned</t>
        </is>
      </c>
      <c r="P137" s="39" t="inlineStr">
        <is>
          <t>Deynarian, Michael</t>
        </is>
      </c>
      <c r="Q137" s="39" t="inlineStr">
        <is>
          <t>Resolved</t>
        </is>
      </c>
      <c r="R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9" t="inlineStr"/>
      <c r="T137" s="39" t="inlineStr"/>
      <c r="U137" s="39" t="inlineStr"/>
      <c r="V137" s="61" t="inlineStr">
        <is>
          <t>Pipeline Schedule</t>
        </is>
      </c>
      <c r="W137" s="39" t="inlineStr"/>
    </row>
    <row r="138">
      <c r="A138" s="42" t="inlineStr">
        <is>
          <t>IT-2986957</t>
        </is>
      </c>
      <c r="B138" s="42" t="inlineStr">
        <is>
          <t>IT-2986957</t>
        </is>
      </c>
      <c r="C138" s="42" t="inlineStr"/>
      <c r="D138" s="43" t="inlineStr">
        <is>
          <t>BCBS_NE : Vendor_Claims_202603 file reprocessing due to Autoid field Populating 0</t>
        </is>
      </c>
      <c r="E138" s="43"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3" t="inlineStr">
        <is>
          <t>The sql table has to bee set to have autoid as IDENTITY/ In NILE, autoid is equated to 0</t>
        </is>
      </c>
      <c r="H138" s="42" t="inlineStr">
        <is>
          <t>Other</t>
        </is>
      </c>
      <c r="I138" s="42" t="inlineStr">
        <is>
          <t>Other</t>
        </is>
      </c>
      <c r="J138" s="42" t="inlineStr"/>
      <c r="K138" s="42" t="inlineStr">
        <is>
          <t>Closed</t>
        </is>
      </c>
      <c r="L138" s="42" t="inlineStr">
        <is>
          <t>2026-04-13</t>
        </is>
      </c>
      <c r="M138" s="42" t="inlineStr">
        <is>
          <t>2026-04-20</t>
        </is>
      </c>
      <c r="N138" s="42" t="inlineStr">
        <is>
          <t>Nile Production Support</t>
        </is>
      </c>
      <c r="O138" s="42" t="inlineStr">
        <is>
          <t>Unassigned</t>
        </is>
      </c>
      <c r="P138" s="42" t="inlineStr">
        <is>
          <t>Thapa, Amrit</t>
        </is>
      </c>
      <c r="Q138" s="42" t="inlineStr">
        <is>
          <t>Resolved</t>
        </is>
      </c>
      <c r="R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42" t="inlineStr"/>
      <c r="T138" s="42" t="inlineStr"/>
      <c r="U138" s="42" t="inlineStr"/>
      <c r="V138" s="60" t="inlineStr">
        <is>
          <t>Schema issue</t>
        </is>
      </c>
      <c r="W138" s="42" t="inlineStr"/>
    </row>
    <row r="139">
      <c r="A139" s="39" t="inlineStr">
        <is>
          <t>IT-2986640</t>
        </is>
      </c>
      <c r="B139" s="39" t="inlineStr">
        <is>
          <t>IT-2986640</t>
        </is>
      </c>
      <c r="C139" s="39" t="inlineStr"/>
      <c r="D139" s="40" t="inlineStr">
        <is>
          <t>BCBSNJ Nasco - Delete the file from raw folder for 20260217 date</t>
        </is>
      </c>
      <c r="E139" s="40"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40" t="inlineStr">
        <is>
          <t>Hi Shaik, Parveena Removed the file from raw path Thanks Satish Devatha</t>
        </is>
      </c>
      <c r="G139" s="40" t="inlineStr">
        <is>
          <t>Removed the file from raw path</t>
        </is>
      </c>
      <c r="H139" s="39" t="inlineStr">
        <is>
          <t>Other</t>
        </is>
      </c>
      <c r="I139" s="39" t="inlineStr">
        <is>
          <t>Other</t>
        </is>
      </c>
      <c r="J139" s="39" t="inlineStr"/>
      <c r="K139" s="39" t="inlineStr">
        <is>
          <t>Closed</t>
        </is>
      </c>
      <c r="L139" s="39" t="inlineStr">
        <is>
          <t>2026-04-13</t>
        </is>
      </c>
      <c r="M139" s="39" t="inlineStr">
        <is>
          <t>2026-04-13</t>
        </is>
      </c>
      <c r="N139" s="39" t="inlineStr">
        <is>
          <t>Nile Production Support</t>
        </is>
      </c>
      <c r="O139" s="39" t="inlineStr">
        <is>
          <t>Unassigned</t>
        </is>
      </c>
      <c r="P139" s="39" t="inlineStr">
        <is>
          <t>Shaik, Parveena</t>
        </is>
      </c>
      <c r="Q139" s="39" t="inlineStr">
        <is>
          <t>Resolved</t>
        </is>
      </c>
      <c r="R139" s="40" t="inlineStr">
        <is>
          <t>Hi Shaik, Parveena Removed the file from raw path Thanks Satish Devatha</t>
        </is>
      </c>
      <c r="S139" s="39" t="inlineStr"/>
      <c r="T139" s="39" t="inlineStr"/>
      <c r="U139" s="39" t="inlineStr"/>
      <c r="V139" s="51" t="inlineStr">
        <is>
          <t>Other</t>
        </is>
      </c>
      <c r="W139" s="39" t="inlineStr">
        <is>
          <t>Yes</t>
        </is>
      </c>
    </row>
    <row r="140">
      <c r="A140" s="42" t="inlineStr">
        <is>
          <t>IT-2986624</t>
        </is>
      </c>
      <c r="B140" s="42" t="inlineStr">
        <is>
          <t>IT-2986624</t>
        </is>
      </c>
      <c r="C140" s="42" t="inlineStr"/>
      <c r="D140" s="43" t="inlineStr">
        <is>
          <t>Copy files From Nile Prod Raw path to Nile QC Raw path - Aetna Trad</t>
        </is>
      </c>
      <c r="E140" s="43"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3" t="inlineStr">
        <is>
          <t>Hi Shivalingu, Naveen Files copied. Please verify Thanks Satish Devatha</t>
        </is>
      </c>
      <c r="G140" s="43" t="inlineStr">
        <is>
          <t>Files Copied</t>
        </is>
      </c>
      <c r="H140" s="42" t="inlineStr">
        <is>
          <t>Other</t>
        </is>
      </c>
      <c r="I140" s="42" t="inlineStr">
        <is>
          <t>Other</t>
        </is>
      </c>
      <c r="J140" s="42" t="inlineStr"/>
      <c r="K140" s="42" t="inlineStr">
        <is>
          <t>Closed</t>
        </is>
      </c>
      <c r="L140" s="42" t="inlineStr">
        <is>
          <t>2026-04-13</t>
        </is>
      </c>
      <c r="M140" s="42" t="inlineStr">
        <is>
          <t>2026-04-13</t>
        </is>
      </c>
      <c r="N140" s="42" t="inlineStr">
        <is>
          <t>Nile Production Support</t>
        </is>
      </c>
      <c r="O140" s="42" t="inlineStr">
        <is>
          <t>Unassigned</t>
        </is>
      </c>
      <c r="P140" s="42" t="inlineStr">
        <is>
          <t>Shivalingu, Naveen</t>
        </is>
      </c>
      <c r="Q140" s="42" t="inlineStr">
        <is>
          <t>Resolved</t>
        </is>
      </c>
      <c r="R140" s="43" t="inlineStr">
        <is>
          <t>Hi Shivalingu, Naveen Files copied. Please verify Thanks Satish Devatha</t>
        </is>
      </c>
      <c r="S140" s="42" t="inlineStr"/>
      <c r="T140" s="42" t="inlineStr"/>
      <c r="U140" s="42" t="inlineStr"/>
      <c r="V140" s="50" t="inlineStr">
        <is>
          <t>Other</t>
        </is>
      </c>
      <c r="W140" s="42" t="inlineStr">
        <is>
          <t>Yes</t>
        </is>
      </c>
    </row>
    <row r="141">
      <c r="A141" s="39" t="inlineStr">
        <is>
          <t>IT-2986524</t>
        </is>
      </c>
      <c r="B141" s="39" t="inlineStr">
        <is>
          <t>IT-2986524</t>
        </is>
      </c>
      <c r="C141" s="39" t="inlineStr"/>
      <c r="D141" s="40" t="inlineStr">
        <is>
          <t>Copy files From Nile Prod Raw path to Nile QC Raw path - UHC-CSP</t>
        </is>
      </c>
      <c r="E141" s="40"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40" t="inlineStr">
        <is>
          <t>Hi Pati, Jagadeesh Chandra Files copied. please verify. Thanks</t>
        </is>
      </c>
      <c r="G141" s="40" t="inlineStr">
        <is>
          <t>Files Copied</t>
        </is>
      </c>
      <c r="H141" s="39" t="inlineStr">
        <is>
          <t>Other</t>
        </is>
      </c>
      <c r="I141" s="39" t="inlineStr">
        <is>
          <t>Other</t>
        </is>
      </c>
      <c r="J141" s="39" t="inlineStr"/>
      <c r="K141" s="39" t="inlineStr">
        <is>
          <t>Closed</t>
        </is>
      </c>
      <c r="L141" s="39" t="inlineStr">
        <is>
          <t>2026-04-13</t>
        </is>
      </c>
      <c r="M141" s="39" t="inlineStr">
        <is>
          <t>2026-04-13</t>
        </is>
      </c>
      <c r="N141" s="39" t="inlineStr">
        <is>
          <t>Nile Production Support</t>
        </is>
      </c>
      <c r="O141" s="39" t="inlineStr">
        <is>
          <t>Unassigned</t>
        </is>
      </c>
      <c r="P141" s="39" t="inlineStr">
        <is>
          <t>Pati, Jagadeesh Chandra</t>
        </is>
      </c>
      <c r="Q141" s="39" t="inlineStr">
        <is>
          <t>Resolved</t>
        </is>
      </c>
      <c r="R141" s="40" t="inlineStr">
        <is>
          <t>Hi Pati, Jagadeesh Chandra Files copied. please verify. Thanks</t>
        </is>
      </c>
      <c r="S141" s="39" t="inlineStr"/>
      <c r="T141" s="39" t="inlineStr"/>
      <c r="U141" s="39" t="inlineStr"/>
      <c r="V141" s="51" t="inlineStr">
        <is>
          <t>Other</t>
        </is>
      </c>
      <c r="W141" s="39" t="inlineStr">
        <is>
          <t>Yes</t>
        </is>
      </c>
    </row>
    <row r="142">
      <c r="A142" s="42" t="inlineStr">
        <is>
          <t>IT-2986465</t>
        </is>
      </c>
      <c r="B142" s="42" t="inlineStr">
        <is>
          <t>IT-2986465</t>
        </is>
      </c>
      <c r="C142" s="42" t="inlineStr"/>
      <c r="D142" s="43" t="inlineStr">
        <is>
          <t>bcbs_mn new file</t>
        </is>
      </c>
      <c r="E142" s="43"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3" t="inlineStr">
        <is>
          <t>Created new spoolers and new pipeline new mappings and new table</t>
        </is>
      </c>
      <c r="H142" s="42" t="inlineStr">
        <is>
          <t>Other</t>
        </is>
      </c>
      <c r="I142" s="42" t="inlineStr">
        <is>
          <t>Other</t>
        </is>
      </c>
      <c r="J142" s="42" t="inlineStr"/>
      <c r="K142" s="42" t="inlineStr">
        <is>
          <t>Closed</t>
        </is>
      </c>
      <c r="L142" s="42" t="inlineStr">
        <is>
          <t>2026-04-13</t>
        </is>
      </c>
      <c r="M142" s="42" t="inlineStr">
        <is>
          <t>2026-04-24</t>
        </is>
      </c>
      <c r="N142" s="42" t="inlineStr">
        <is>
          <t>Nile Production Support</t>
        </is>
      </c>
      <c r="O142" s="42" t="inlineStr">
        <is>
          <t>Unassigned</t>
        </is>
      </c>
      <c r="P142" s="42" t="inlineStr">
        <is>
          <t>Cardona, Karyn</t>
        </is>
      </c>
      <c r="Q142" s="42" t="inlineStr">
        <is>
          <t>Resolved</t>
        </is>
      </c>
      <c r="R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42" t="inlineStr"/>
      <c r="T142" s="42" t="inlineStr"/>
      <c r="U142" s="42" t="inlineStr"/>
      <c r="V142" s="54" t="inlineStr">
        <is>
          <t>Configuration Issue</t>
        </is>
      </c>
      <c r="W142" s="42" t="inlineStr"/>
    </row>
    <row r="143">
      <c r="A143" s="39" t="inlineStr">
        <is>
          <t>IT-2986301</t>
        </is>
      </c>
      <c r="B143" s="39" t="inlineStr">
        <is>
          <t>IT-2986301</t>
        </is>
      </c>
      <c r="C143" s="39" t="inlineStr"/>
      <c r="D143" s="40" t="inlineStr">
        <is>
          <t>dm-centene-centene-actian_actian_migration_claims_total_count - "Pipeline failed in shell executer stage for 2026/04/11"</t>
        </is>
      </c>
      <c r="E143" s="40" t="inlineStr">
        <is>
          <t>Pipeline ID: 2024-04-19-89775245 Pipeline Name: dm-centene-centene-actian_actian_migration_claims_total_count</t>
        </is>
      </c>
      <c r="F143" s="40" t="inlineStr">
        <is>
          <t>investigated the issue and rerunning it will fix it once the pipeline is done-- verified the results and it looked good.</t>
        </is>
      </c>
      <c r="G143" s="40" t="inlineStr">
        <is>
          <t>shell executor issue -- investigated and rsubmit pipeline rsults generatd</t>
        </is>
      </c>
      <c r="H143" s="39" t="inlineStr">
        <is>
          <t>Other</t>
        </is>
      </c>
      <c r="I143" s="39" t="inlineStr">
        <is>
          <t>Other</t>
        </is>
      </c>
      <c r="J143" s="39" t="inlineStr"/>
      <c r="K143" s="39" t="inlineStr">
        <is>
          <t>Closed</t>
        </is>
      </c>
      <c r="L143" s="39" t="inlineStr">
        <is>
          <t>2026-04-13</t>
        </is>
      </c>
      <c r="M143" s="39" t="inlineStr">
        <is>
          <t>2026-04-13</t>
        </is>
      </c>
      <c r="N143" s="39" t="inlineStr">
        <is>
          <t>Nile Production Support</t>
        </is>
      </c>
      <c r="O143" s="39" t="inlineStr">
        <is>
          <t>Unassigned</t>
        </is>
      </c>
      <c r="P143" s="39" t="inlineStr">
        <is>
          <t>Limbu, Sajan</t>
        </is>
      </c>
      <c r="Q143" s="39" t="inlineStr">
        <is>
          <t>Resolved</t>
        </is>
      </c>
      <c r="R143" s="40" t="inlineStr">
        <is>
          <t>investigated the issue and rerunning it will fix it once the pipeline is done-- verified the results and it looked good.</t>
        </is>
      </c>
      <c r="S143" s="39" t="inlineStr"/>
      <c r="T143" s="39" t="inlineStr"/>
      <c r="U143" s="39" t="inlineStr"/>
      <c r="V143" s="61" t="inlineStr">
        <is>
          <t>Pipeline Schedule</t>
        </is>
      </c>
      <c r="W143" s="39" t="inlineStr"/>
    </row>
    <row r="144">
      <c r="A144" s="42" t="inlineStr">
        <is>
          <t>IT-2985806</t>
        </is>
      </c>
      <c r="B144" s="42" t="inlineStr">
        <is>
          <t>IT-2985806</t>
        </is>
      </c>
      <c r="C144" s="42" t="inlineStr"/>
      <c r="D144" s="43" t="inlineStr">
        <is>
          <t>Testing and promoting oscar - homegrown pipelines to prod using the new PPM template.</t>
        </is>
      </c>
      <c r="E144" s="43" t="inlineStr">
        <is>
          <t>Validating and deploying pipelines with the new PPM template to ensure proper functionality and compatibility. client - oscar - homegrown</t>
        </is>
      </c>
      <c r="F144" s="43" t="inlineStr">
        <is>
          <t>Subtask needed to be validated. The lean ingestion pipelines are now live in production.</t>
        </is>
      </c>
      <c r="G144" s="43" t="inlineStr">
        <is>
          <t>Lean_ingestion pipelines sent live.</t>
        </is>
      </c>
      <c r="H144" s="42" t="inlineStr">
        <is>
          <t>Other</t>
        </is>
      </c>
      <c r="I144" s="42" t="inlineStr">
        <is>
          <t>Other</t>
        </is>
      </c>
      <c r="J144" s="42" t="inlineStr"/>
      <c r="K144" s="42" t="inlineStr">
        <is>
          <t>Closed</t>
        </is>
      </c>
      <c r="L144" s="42" t="inlineStr">
        <is>
          <t>2026-04-13</t>
        </is>
      </c>
      <c r="M144" s="42" t="inlineStr">
        <is>
          <t>2026-04-29</t>
        </is>
      </c>
      <c r="N144" s="42" t="inlineStr">
        <is>
          <t>Nile Production Support</t>
        </is>
      </c>
      <c r="O144" s="42" t="inlineStr">
        <is>
          <t>Unassigned</t>
        </is>
      </c>
      <c r="P144" s="42" t="inlineStr">
        <is>
          <t>Karakavalasa, SriVarshini</t>
        </is>
      </c>
      <c r="Q144" s="42" t="inlineStr">
        <is>
          <t>Resolved</t>
        </is>
      </c>
      <c r="R144" s="43" t="inlineStr">
        <is>
          <t>Subtask needed to be validated. The lean ingestion pipelines are now live in production.</t>
        </is>
      </c>
      <c r="S144" s="42" t="inlineStr"/>
      <c r="T144" s="42" t="inlineStr"/>
      <c r="U144" s="42" t="inlineStr"/>
      <c r="V144" s="50" t="inlineStr">
        <is>
          <t>Other</t>
        </is>
      </c>
      <c r="W144" s="42" t="inlineStr">
        <is>
          <t>Yes</t>
        </is>
      </c>
    </row>
    <row r="145">
      <c r="A145" s="39" t="inlineStr">
        <is>
          <t>IT-2985721</t>
        </is>
      </c>
      <c r="B145" s="39" t="inlineStr">
        <is>
          <t>IT-2985721</t>
        </is>
      </c>
      <c r="C145" s="39" t="inlineStr"/>
      <c r="D145" s="40" t="inlineStr">
        <is>
          <t>Update the tracker with the newly deployed History pipelines for Premera and Geisinger that are now live in production.</t>
        </is>
      </c>
      <c r="E145" s="40"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40" t="inlineStr"/>
      <c r="G145" s="40" t="inlineStr">
        <is>
          <t>Details recorded accordingly.</t>
        </is>
      </c>
      <c r="H145" s="39" t="inlineStr">
        <is>
          <t>Other</t>
        </is>
      </c>
      <c r="I145" s="39" t="inlineStr">
        <is>
          <t>Other</t>
        </is>
      </c>
      <c r="J145" s="39" t="inlineStr"/>
      <c r="K145" s="39" t="inlineStr">
        <is>
          <t>Closed</t>
        </is>
      </c>
      <c r="L145" s="39" t="inlineStr">
        <is>
          <t>2026-04-13</t>
        </is>
      </c>
      <c r="M145" s="39" t="inlineStr">
        <is>
          <t>2026-04-23</t>
        </is>
      </c>
      <c r="N145" s="39" t="inlineStr">
        <is>
          <t>Nile Production Support</t>
        </is>
      </c>
      <c r="O145" s="39" t="inlineStr">
        <is>
          <t>Unassigned</t>
        </is>
      </c>
      <c r="P145" s="39" t="inlineStr">
        <is>
          <t>Karakavalasa, SriVarshini</t>
        </is>
      </c>
      <c r="Q145" s="39" t="inlineStr">
        <is>
          <t>Resolved</t>
        </is>
      </c>
      <c r="R145" s="40" t="inlineStr"/>
      <c r="S145" s="39" t="inlineStr"/>
      <c r="T145" s="39" t="inlineStr"/>
      <c r="U145" s="39" t="inlineStr"/>
      <c r="V145" s="51" t="inlineStr">
        <is>
          <t>Other</t>
        </is>
      </c>
      <c r="W145" s="39" t="inlineStr">
        <is>
          <t>Yes</t>
        </is>
      </c>
    </row>
    <row r="146">
      <c r="A146" s="42" t="inlineStr">
        <is>
          <t>IT-2985453</t>
        </is>
      </c>
      <c r="B146" s="42" t="inlineStr">
        <is>
          <t>IT-2985453</t>
        </is>
      </c>
      <c r="C146" s="42" t="inlineStr"/>
      <c r="D146" s="43" t="inlineStr">
        <is>
          <t>Data issue:Monthly Pipeline dm-bcbsmi-bcn-actian_migration_member is getting failed for 2026/04/11</t>
        </is>
      </c>
      <c r="E146" s="43"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3" t="inlineStr">
        <is>
          <t>I Have check with EDM and they approve to move with the file ingestion</t>
        </is>
      </c>
      <c r="H146" s="42" t="inlineStr">
        <is>
          <t>Other</t>
        </is>
      </c>
      <c r="I146" s="42" t="inlineStr">
        <is>
          <t>Other</t>
        </is>
      </c>
      <c r="J146" s="42" t="inlineStr"/>
      <c r="K146" s="42" t="inlineStr">
        <is>
          <t>Closed</t>
        </is>
      </c>
      <c r="L146" s="42" t="inlineStr">
        <is>
          <t>2026-04-13</t>
        </is>
      </c>
      <c r="M146" s="42" t="inlineStr">
        <is>
          <t>2026-04-13</t>
        </is>
      </c>
      <c r="N146" s="42" t="inlineStr">
        <is>
          <t>Nile Production Support</t>
        </is>
      </c>
      <c r="O146" s="42" t="inlineStr">
        <is>
          <t>Unassigned</t>
        </is>
      </c>
      <c r="P146" s="42" t="inlineStr">
        <is>
          <t>Kandel, Amik</t>
        </is>
      </c>
      <c r="Q146" s="42" t="inlineStr">
        <is>
          <t>Resolved</t>
        </is>
      </c>
      <c r="R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42" t="inlineStr"/>
      <c r="T146" s="42" t="inlineStr"/>
      <c r="U146" s="42" t="inlineStr"/>
      <c r="V146" s="52" t="inlineStr">
        <is>
          <t>Data Issue</t>
        </is>
      </c>
      <c r="W146" s="42" t="inlineStr"/>
    </row>
    <row r="147">
      <c r="A147" s="39" t="inlineStr">
        <is>
          <t>IT-2984088</t>
        </is>
      </c>
      <c r="B147" s="39" t="inlineStr">
        <is>
          <t>IT-2984088</t>
        </is>
      </c>
      <c r="C147" s="39" t="inlineStr"/>
      <c r="D147" s="40" t="inlineStr">
        <is>
          <t>GEIHP - History INST. file - 04/11/2026</t>
        </is>
      </c>
      <c r="E147" s="40"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40" t="inlineStr">
        <is>
          <t>We have received confirmation from the user, and the ticket has been closed. No replacement file is required.</t>
        </is>
      </c>
      <c r="H147" s="39" t="inlineStr"/>
      <c r="I147" s="39" t="inlineStr"/>
      <c r="J147" s="39" t="inlineStr"/>
      <c r="K147" s="39" t="inlineStr">
        <is>
          <t>Closed</t>
        </is>
      </c>
      <c r="L147" s="39" t="inlineStr">
        <is>
          <t>2026-04-11</t>
        </is>
      </c>
      <c r="M147" s="39" t="inlineStr">
        <is>
          <t>2026-04-13</t>
        </is>
      </c>
      <c r="N147" s="39" t="inlineStr">
        <is>
          <t>Nile Production Support</t>
        </is>
      </c>
      <c r="O147" s="39" t="inlineStr">
        <is>
          <t>Unassigned</t>
        </is>
      </c>
      <c r="P147" s="39" t="inlineStr">
        <is>
          <t>Gudala, Kumaraswamy</t>
        </is>
      </c>
      <c r="Q147" s="39" t="inlineStr">
        <is>
          <t>Closed</t>
        </is>
      </c>
      <c r="R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9" t="inlineStr"/>
      <c r="T147" s="39" t="inlineStr"/>
      <c r="U147" s="39" t="inlineStr"/>
      <c r="V147" s="61" t="inlineStr">
        <is>
          <t>Pipeline Schedule</t>
        </is>
      </c>
      <c r="W147" s="39" t="inlineStr"/>
    </row>
    <row r="148">
      <c r="A148" s="42" t="inlineStr">
        <is>
          <t>IT-2983832</t>
        </is>
      </c>
      <c r="B148" s="42" t="inlineStr">
        <is>
          <t>IT-2983832</t>
        </is>
      </c>
      <c r="C148" s="42" t="inlineStr"/>
      <c r="D148" s="43" t="inlineStr">
        <is>
          <t>Data issue:Monthly pipeline dm-tufts-hrp-pharmacy_claims_GDF2_9 got failed for data date 2026/04/10</t>
        </is>
      </c>
      <c r="E148" s="43" t="inlineStr">
        <is>
          <t>Above pipeline got failed in HDFS File Copier-data_file [hdfs-copier] stage. Please investigate and help fix the issue.</t>
        </is>
      </c>
      <c r="F148" s="43" t="inlineStr">
        <is>
          <t>Hi Kandel, Amik , I have completed the initial analysis of this ticket. The issue appears to be caused by a permissions problem. I will coordinate with the Hadoop team to resolve it. pipeline reverified with user and closed this ticket.</t>
        </is>
      </c>
      <c r="G148" s="43" t="inlineStr">
        <is>
          <t>pipeline reverified with user and closed this ticket.</t>
        </is>
      </c>
      <c r="H148" s="42" t="inlineStr">
        <is>
          <t>Other</t>
        </is>
      </c>
      <c r="I148" s="42" t="inlineStr">
        <is>
          <t>Other</t>
        </is>
      </c>
      <c r="J148" s="42" t="inlineStr"/>
      <c r="K148" s="42" t="inlineStr">
        <is>
          <t>Closed</t>
        </is>
      </c>
      <c r="L148" s="42" t="inlineStr">
        <is>
          <t>2026-04-11</t>
        </is>
      </c>
      <c r="M148" s="42" t="inlineStr">
        <is>
          <t>2026-04-14</t>
        </is>
      </c>
      <c r="N148" s="42" t="inlineStr">
        <is>
          <t>Nile Production Support</t>
        </is>
      </c>
      <c r="O148" s="42" t="inlineStr">
        <is>
          <t>Unassigned</t>
        </is>
      </c>
      <c r="P148" s="42" t="inlineStr">
        <is>
          <t>Kandel, Amik</t>
        </is>
      </c>
      <c r="Q148" s="42" t="inlineStr">
        <is>
          <t>Resolved</t>
        </is>
      </c>
      <c r="R148" s="43" t="inlineStr">
        <is>
          <t>Hi Kandel, Amik , I have completed the initial analysis of this ticket. The issue appears to be caused by a permissions problem. I will coordinate with the Hadoop team to resolve it. pipeline reverified with user and closed this ticket.</t>
        </is>
      </c>
      <c r="S148" s="42" t="inlineStr"/>
      <c r="T148" s="42" t="inlineStr"/>
      <c r="U148" s="42" t="inlineStr"/>
      <c r="V148" s="48" t="inlineStr">
        <is>
          <t>Pipeline Schedule</t>
        </is>
      </c>
      <c r="W148" s="42" t="inlineStr"/>
    </row>
    <row r="149">
      <c r="A149" s="39" t="inlineStr">
        <is>
          <t>IT-2983282</t>
        </is>
      </c>
      <c r="B149" s="39" t="inlineStr">
        <is>
          <t>IT-2983282</t>
        </is>
      </c>
      <c r="C149" s="39" t="inlineStr"/>
      <c r="D149" s="40" t="inlineStr">
        <is>
          <t>Tuft-HRP pipeline is failing due to user permission denied</t>
        </is>
      </c>
      <c r="E149" s="40" t="inlineStr">
        <is>
          <t>The dm-tufts-hrp-pharmacy_claims_GDF2_9 pipeline is currently failing with a “Destination Copy Failure” error. After analysis, I found that the issue is due to insufficient permissions for the user in Hadoop, resulting in a “permission denied” error.</t>
        </is>
      </c>
      <c r="F149" s="40" t="inlineStr">
        <is>
          <t>Files have been delivered</t>
        </is>
      </c>
      <c r="G149" s="40" t="inlineStr">
        <is>
          <t>2026/04/10 files were delivered successfully</t>
        </is>
      </c>
      <c r="H149" s="39" t="inlineStr">
        <is>
          <t>Other</t>
        </is>
      </c>
      <c r="I149" s="39" t="inlineStr">
        <is>
          <t>Other</t>
        </is>
      </c>
      <c r="J149" s="39" t="inlineStr"/>
      <c r="K149" s="39" t="inlineStr">
        <is>
          <t>Closed</t>
        </is>
      </c>
      <c r="L149" s="39" t="inlineStr">
        <is>
          <t>2026-04-10</t>
        </is>
      </c>
      <c r="M149" s="39" t="inlineStr">
        <is>
          <t>2026-04-13</t>
        </is>
      </c>
      <c r="N149" s="39" t="inlineStr">
        <is>
          <t>Nile Production Support</t>
        </is>
      </c>
      <c r="O149" s="39" t="inlineStr">
        <is>
          <t>Unassigned</t>
        </is>
      </c>
      <c r="P149" s="39" t="inlineStr">
        <is>
          <t>Kabeya, Joel</t>
        </is>
      </c>
      <c r="Q149" s="39" t="inlineStr">
        <is>
          <t>Resolved</t>
        </is>
      </c>
      <c r="R149" s="40" t="inlineStr">
        <is>
          <t>Files have been delivered</t>
        </is>
      </c>
      <c r="S149" s="39" t="inlineStr"/>
      <c r="T149" s="39" t="inlineStr"/>
      <c r="U149" s="39" t="inlineStr"/>
      <c r="V149" s="61" t="inlineStr">
        <is>
          <t>Pipeline Schedule</t>
        </is>
      </c>
      <c r="W149" s="39" t="inlineStr"/>
    </row>
    <row r="150">
      <c r="A150" s="42" t="inlineStr">
        <is>
          <t>IT-2982952</t>
        </is>
      </c>
      <c r="B150" s="42" t="inlineStr">
        <is>
          <t>IT-2982952</t>
        </is>
      </c>
      <c r="C150" s="42" t="inlineStr"/>
      <c r="D150" s="43" t="inlineStr">
        <is>
          <t>Request for presbyterian - hrp Monthly improvement</t>
        </is>
      </c>
      <c r="E150" s="43"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3" t="inlineStr">
        <is>
          <t>Introduced a weekly data validation module to enhance visibility into processed files and those pending processing.</t>
        </is>
      </c>
      <c r="H150" s="42" t="inlineStr">
        <is>
          <t>Other</t>
        </is>
      </c>
      <c r="I150" s="42" t="inlineStr">
        <is>
          <t>Other</t>
        </is>
      </c>
      <c r="J150" s="42" t="inlineStr"/>
      <c r="K150" s="42" t="inlineStr">
        <is>
          <t>Closed</t>
        </is>
      </c>
      <c r="L150" s="42" t="inlineStr">
        <is>
          <t>2026-04-10</t>
        </is>
      </c>
      <c r="M150" s="42" t="inlineStr">
        <is>
          <t>2026-04-29</t>
        </is>
      </c>
      <c r="N150" s="42" t="inlineStr">
        <is>
          <t>Nile Production Support</t>
        </is>
      </c>
      <c r="O150" s="42" t="inlineStr">
        <is>
          <t>Unassigned</t>
        </is>
      </c>
      <c r="P150" s="42" t="inlineStr">
        <is>
          <t>Kabeya, Joel</t>
        </is>
      </c>
      <c r="Q150" s="42" t="inlineStr">
        <is>
          <t>Resolved</t>
        </is>
      </c>
      <c r="R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42" t="inlineStr"/>
      <c r="T150" s="42" t="inlineStr"/>
      <c r="U150" s="42" t="inlineStr"/>
      <c r="V150" s="50" t="inlineStr">
        <is>
          <t>Other</t>
        </is>
      </c>
      <c r="W150" s="42" t="inlineStr">
        <is>
          <t>Yes</t>
        </is>
      </c>
    </row>
    <row r="151">
      <c r="A151" s="39" t="inlineStr">
        <is>
          <t>IT-2982754</t>
        </is>
      </c>
      <c r="B151" s="39" t="inlineStr">
        <is>
          <t>IT-2982754</t>
        </is>
      </c>
      <c r="C151" s="39" t="inlineStr"/>
      <c r="D151" s="40" t="inlineStr">
        <is>
          <t>Please Create Pipeline dm-mcl-mcl-actian_migration_ING_HCPCSIndicators_Pipe</t>
        </is>
      </c>
      <c r="E151" s="40"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40" t="inlineStr">
        <is>
          <t>DDDL_for_Ing_HCPCSIndicators_Table.txt (0.4 kB) Hi Kamsetty, Sravani . I have reviewed the table for this new pipeline and the data looks good. You can close this ticket. Thanks for creating this pipeline so quickly! Mike Thanks for the Confirmation Mike.</t>
        </is>
      </c>
      <c r="G151" s="40" t="inlineStr">
        <is>
          <t>Pipeline created and file loaded successfully.</t>
        </is>
      </c>
      <c r="H151" s="39" t="inlineStr">
        <is>
          <t>Other</t>
        </is>
      </c>
      <c r="I151" s="39" t="inlineStr">
        <is>
          <t>Other</t>
        </is>
      </c>
      <c r="J151" s="39" t="inlineStr"/>
      <c r="K151" s="39" t="inlineStr">
        <is>
          <t>Closed</t>
        </is>
      </c>
      <c r="L151" s="39" t="inlineStr">
        <is>
          <t>2026-04-10</t>
        </is>
      </c>
      <c r="M151" s="39" t="inlineStr">
        <is>
          <t>2026-04-17</t>
        </is>
      </c>
      <c r="N151" s="39" t="inlineStr">
        <is>
          <t>Nile Production Support</t>
        </is>
      </c>
      <c r="O151" s="39" t="inlineStr">
        <is>
          <t>Unassigned</t>
        </is>
      </c>
      <c r="P151" s="39" t="inlineStr">
        <is>
          <t>Deynarian, Michael</t>
        </is>
      </c>
      <c r="Q151" s="39" t="inlineStr">
        <is>
          <t>Resolved</t>
        </is>
      </c>
      <c r="R151" s="40" t="inlineStr">
        <is>
          <t>DDDL_for_Ing_HCPCSIndicators_Table.txt (0.4 kB) Hi Kamsetty, Sravani . I have reviewed the table for this new pipeline and the data looks good. You can close this ticket. Thanks for creating this pipeline so quickly! Mike Thanks for the Confirmation Mike.</t>
        </is>
      </c>
      <c r="S151" s="39" t="inlineStr"/>
      <c r="T151" s="39" t="inlineStr"/>
      <c r="U151" s="39" t="inlineStr"/>
      <c r="V151" s="49" t="inlineStr">
        <is>
          <t>File Issue</t>
        </is>
      </c>
      <c r="W151" s="39" t="inlineStr"/>
    </row>
    <row r="152">
      <c r="A152" s="42" t="inlineStr">
        <is>
          <t>IT-2982706</t>
        </is>
      </c>
      <c r="B152" s="42" t="inlineStr">
        <is>
          <t>IT-2982706</t>
        </is>
      </c>
      <c r="C152" s="42" t="inlineStr"/>
      <c r="D152" s="43" t="inlineStr">
        <is>
          <t>trigger_bmc_workflow-uhc-unet_monthly_DataLoads_V2</t>
        </is>
      </c>
      <c r="E152" s="43"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3" t="inlineStr">
        <is>
          <t>changed and published pipelines to get picked up by the trigger pipeline changed spooler required to Y for all pipelines also changed config to show pre-checks using LATEST version created and scheduled trigger BMC reassigning to Easley, Keaton</t>
        </is>
      </c>
      <c r="G152" s="43" t="inlineStr"/>
      <c r="H152" s="42" t="inlineStr">
        <is>
          <t>Other</t>
        </is>
      </c>
      <c r="I152" s="42" t="inlineStr">
        <is>
          <t>Other</t>
        </is>
      </c>
      <c r="J152" s="42" t="inlineStr"/>
      <c r="K152" s="42" t="inlineStr">
        <is>
          <t>In Progress (HD1)</t>
        </is>
      </c>
      <c r="L152" s="42" t="inlineStr">
        <is>
          <t>2026-04-10</t>
        </is>
      </c>
      <c r="M152" s="42" t="inlineStr">
        <is>
          <t>2026-04-10</t>
        </is>
      </c>
      <c r="N152" s="42" t="inlineStr">
        <is>
          <t>Nile Production Support</t>
        </is>
      </c>
      <c r="O152" s="42" t="inlineStr">
        <is>
          <t>Unassigned</t>
        </is>
      </c>
      <c r="P152" s="42" t="inlineStr">
        <is>
          <t>Easley, Keaton</t>
        </is>
      </c>
      <c r="Q152" s="42" t="inlineStr">
        <is>
          <t>Unresolved</t>
        </is>
      </c>
      <c r="R152" s="43" t="inlineStr">
        <is>
          <t>changed and published pipelines to get picked up by the trigger pipeline changed spooler required to Y for all pipelines also changed config to show pre-checks using LATEST version created and scheduled trigger BMC reassigning to Easley, Keaton</t>
        </is>
      </c>
      <c r="S152" s="42" t="inlineStr"/>
      <c r="T152" s="42" t="inlineStr"/>
      <c r="U152" s="42" t="inlineStr"/>
      <c r="V152" s="50" t="inlineStr">
        <is>
          <t>Other</t>
        </is>
      </c>
      <c r="W152" s="42" t="inlineStr">
        <is>
          <t>Yes</t>
        </is>
      </c>
    </row>
    <row r="153">
      <c r="A153" s="39" t="inlineStr">
        <is>
          <t>IT-2982677</t>
        </is>
      </c>
      <c r="B153" s="39" t="inlineStr">
        <is>
          <t>IT-2982677</t>
        </is>
      </c>
      <c r="C153" s="39" t="inlineStr"/>
      <c r="D153" s="40" t="inlineStr">
        <is>
          <t>UHC Unet FI/ASO - Discrepency in File Ingestion Lineage report vs SQL table</t>
        </is>
      </c>
      <c r="E153" s="40"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40" t="inlineStr">
        <is>
          <t>I have started work on this ticket. We have identified the issue and will resolve it by adding a parameter and updating the pipeline configuration. We will keep you informed on the progress. we have to check with user once.</t>
        </is>
      </c>
      <c r="G153" s="40" t="inlineStr"/>
      <c r="H153" s="39" t="inlineStr">
        <is>
          <t>Other</t>
        </is>
      </c>
      <c r="I153" s="39" t="inlineStr">
        <is>
          <t>Other</t>
        </is>
      </c>
      <c r="J153" s="39" t="inlineStr"/>
      <c r="K153" s="39" t="inlineStr">
        <is>
          <t>On Hold</t>
        </is>
      </c>
      <c r="L153" s="39" t="inlineStr">
        <is>
          <t>2026-04-10</t>
        </is>
      </c>
      <c r="M153" s="39" t="inlineStr">
        <is>
          <t>2026-04-21</t>
        </is>
      </c>
      <c r="N153" s="39" t="inlineStr">
        <is>
          <t>Nile Production Support</t>
        </is>
      </c>
      <c r="O153" s="39" t="inlineStr">
        <is>
          <t>Unassigned</t>
        </is>
      </c>
      <c r="P153" s="39" t="inlineStr">
        <is>
          <t>Dongol, Priya</t>
        </is>
      </c>
      <c r="Q153" s="39" t="inlineStr">
        <is>
          <t>Unresolved</t>
        </is>
      </c>
      <c r="R153" s="40" t="inlineStr">
        <is>
          <t>I have started work on this ticket. We have identified the issue and will resolve it by adding a parameter and updating the pipeline configuration. We will keep you informed on the progress. we have to check with user once.</t>
        </is>
      </c>
      <c r="S153" s="39" t="inlineStr"/>
      <c r="T153" s="39" t="inlineStr"/>
      <c r="U153" s="39" t="inlineStr"/>
      <c r="V153" s="49" t="inlineStr">
        <is>
          <t>File Issue</t>
        </is>
      </c>
      <c r="W153" s="39" t="inlineStr"/>
    </row>
    <row r="154">
      <c r="A154" s="42" t="inlineStr">
        <is>
          <t>IT-2982622</t>
        </is>
      </c>
      <c r="B154" s="42" t="inlineStr">
        <is>
          <t>IT-2982622</t>
        </is>
      </c>
      <c r="C154" s="42" t="inlineStr"/>
      <c r="D154" s="43" t="inlineStr">
        <is>
          <t>trigger_bmc_workflow-uhc-unet_monthly_Incremental_Dataload</t>
        </is>
      </c>
      <c r="E154" s="43" t="inlineStr">
        <is>
          <t>trigger_bmc_workflow-uhc-unet_monthly_Incremental_Dataload has not ran since December. not sure the issue here</t>
        </is>
      </c>
      <c r="F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3" t="inlineStr">
        <is>
          <t>need to create 2 new BMC pipelines. One for the first run and the second one is for the 2nd and 3rd run of each month.</t>
        </is>
      </c>
      <c r="H154" s="42" t="inlineStr">
        <is>
          <t>Other</t>
        </is>
      </c>
      <c r="I154" s="42" t="inlineStr">
        <is>
          <t>Other</t>
        </is>
      </c>
      <c r="J154" s="42" t="inlineStr"/>
      <c r="K154" s="42" t="inlineStr">
        <is>
          <t>Closed</t>
        </is>
      </c>
      <c r="L154" s="42" t="inlineStr">
        <is>
          <t>2026-04-10</t>
        </is>
      </c>
      <c r="M154" s="42" t="inlineStr">
        <is>
          <t>2026-04-13</t>
        </is>
      </c>
      <c r="N154" s="42" t="inlineStr">
        <is>
          <t>Nile Production Support</t>
        </is>
      </c>
      <c r="O154" s="42" t="inlineStr">
        <is>
          <t>Unassigned</t>
        </is>
      </c>
      <c r="P154" s="42" t="inlineStr">
        <is>
          <t>Easley, Keaton</t>
        </is>
      </c>
      <c r="Q154" s="42" t="inlineStr">
        <is>
          <t>Resolved</t>
        </is>
      </c>
      <c r="R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42" t="inlineStr"/>
      <c r="T154" s="42" t="inlineStr"/>
      <c r="U154" s="42" t="inlineStr"/>
      <c r="V154" s="50" t="inlineStr">
        <is>
          <t>Other</t>
        </is>
      </c>
      <c r="W154" s="42" t="inlineStr">
        <is>
          <t>Yes</t>
        </is>
      </c>
    </row>
    <row r="155">
      <c r="A155" s="39" t="inlineStr">
        <is>
          <t>IT-2982545</t>
        </is>
      </c>
      <c r="B155" s="39" t="inlineStr">
        <is>
          <t>IT-2982545</t>
        </is>
      </c>
      <c r="C155" s="39" t="inlineStr"/>
      <c r="D155" s="40" t="inlineStr">
        <is>
          <t>trigger_bmc_workflow-uhc-unet_monthly_UnetAso</t>
        </is>
      </c>
      <c r="E155" s="40" t="inlineStr">
        <is>
          <t>all pipelines are completed successfully error_list=dm-uhc-unet-actian_migration_claimsasophy: Missing data, can_proceed=0</t>
        </is>
      </c>
      <c r="F155" s="40" t="inlineStr">
        <is>
          <t>Created a new version to set spooler YN to Y need to publish the pipelines setup config pre checks to show latest and make sure subscribr is set on the BMC trigger assigning to Easley, Keaton</t>
        </is>
      </c>
      <c r="G155" s="40" t="inlineStr"/>
      <c r="H155" s="39" t="inlineStr">
        <is>
          <t>Other</t>
        </is>
      </c>
      <c r="I155" s="39" t="inlineStr">
        <is>
          <t>Other</t>
        </is>
      </c>
      <c r="J155" s="39" t="inlineStr"/>
      <c r="K155" s="39" t="inlineStr">
        <is>
          <t>In Progress (HD1)</t>
        </is>
      </c>
      <c r="L155" s="39" t="inlineStr">
        <is>
          <t>2026-04-10</t>
        </is>
      </c>
      <c r="M155" s="39" t="inlineStr">
        <is>
          <t>2026-04-10</t>
        </is>
      </c>
      <c r="N155" s="39" t="inlineStr">
        <is>
          <t>Nile Production Support</t>
        </is>
      </c>
      <c r="O155" s="39" t="inlineStr">
        <is>
          <t>Unassigned</t>
        </is>
      </c>
      <c r="P155" s="39" t="inlineStr">
        <is>
          <t>Easley, Keaton</t>
        </is>
      </c>
      <c r="Q155" s="39" t="inlineStr">
        <is>
          <t>Unresolved</t>
        </is>
      </c>
      <c r="R155" s="40" t="inlineStr">
        <is>
          <t>Created a new version to set spooler YN to Y need to publish the pipelines setup config pre checks to show latest and make sure subscribr is set on the BMC trigger assigning to Easley, Keaton</t>
        </is>
      </c>
      <c r="S155" s="39" t="inlineStr"/>
      <c r="T155" s="39" t="inlineStr"/>
      <c r="U155" s="39" t="inlineStr"/>
      <c r="V155" s="51" t="inlineStr">
        <is>
          <t>Other</t>
        </is>
      </c>
      <c r="W155" s="39" t="inlineStr">
        <is>
          <t>Yes</t>
        </is>
      </c>
    </row>
    <row r="156">
      <c r="A156" s="42" t="inlineStr">
        <is>
          <t>IT-2982066</t>
        </is>
      </c>
      <c r="B156" s="42" t="inlineStr">
        <is>
          <t>IT-2982066</t>
        </is>
      </c>
      <c r="C156" s="42" t="inlineStr"/>
      <c r="D156" s="43" t="inlineStr">
        <is>
          <t>dm-healthspring-healthspring-actian_migration_trigger_Monthly_pipelines failed in Shell Executor [shell-executor] stage</t>
        </is>
      </c>
      <c r="E156" s="43"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3" t="inlineStr">
        <is>
          <t>Files received and processed successfully.</t>
        </is>
      </c>
      <c r="H156" s="42" t="inlineStr">
        <is>
          <t>Other</t>
        </is>
      </c>
      <c r="I156" s="42" t="inlineStr">
        <is>
          <t>Other</t>
        </is>
      </c>
      <c r="J156" s="42" t="inlineStr"/>
      <c r="K156" s="42" t="inlineStr">
        <is>
          <t>Closed</t>
        </is>
      </c>
      <c r="L156" s="42" t="inlineStr">
        <is>
          <t>2026-04-10</t>
        </is>
      </c>
      <c r="M156" s="42" t="inlineStr">
        <is>
          <t>2026-04-20</t>
        </is>
      </c>
      <c r="N156" s="42" t="inlineStr">
        <is>
          <t>Nile Production Support</t>
        </is>
      </c>
      <c r="O156" s="42" t="inlineStr">
        <is>
          <t>Unassigned</t>
        </is>
      </c>
      <c r="P156" s="42" t="inlineStr">
        <is>
          <t>Raya, Birajan</t>
        </is>
      </c>
      <c r="Q156" s="42" t="inlineStr">
        <is>
          <t>Resolved</t>
        </is>
      </c>
      <c r="R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42" t="inlineStr"/>
      <c r="T156" s="42" t="inlineStr"/>
      <c r="U156" s="42" t="inlineStr"/>
      <c r="V156" s="44" t="inlineStr">
        <is>
          <t>File Missing</t>
        </is>
      </c>
      <c r="W156" s="42" t="inlineStr"/>
    </row>
    <row r="157">
      <c r="A157" s="39" t="inlineStr">
        <is>
          <t>IT-2981879</t>
        </is>
      </c>
      <c r="B157" s="39" t="inlineStr">
        <is>
          <t>IT-2981879</t>
        </is>
      </c>
      <c r="C157" s="39" t="inlineStr"/>
      <c r="D157" s="40" t="inlineStr">
        <is>
          <t>Production Transition - Aetna - MR</t>
        </is>
      </c>
      <c r="E157" s="40" t="inlineStr">
        <is>
          <t>Production Transition - Aetna - MR</t>
        </is>
      </c>
      <c r="F157" s="40" t="inlineStr">
        <is>
          <t>Waiting for documents</t>
        </is>
      </c>
      <c r="G157" s="40" t="inlineStr"/>
      <c r="H157" s="39" t="inlineStr">
        <is>
          <t>Other</t>
        </is>
      </c>
      <c r="I157" s="39" t="inlineStr">
        <is>
          <t>Other</t>
        </is>
      </c>
      <c r="J157" s="39" t="inlineStr"/>
      <c r="K157" s="39" t="inlineStr">
        <is>
          <t>On Hold</t>
        </is>
      </c>
      <c r="L157" s="39" t="inlineStr">
        <is>
          <t>2026-04-10</t>
        </is>
      </c>
      <c r="M157" s="39" t="inlineStr">
        <is>
          <t>2026-05-05</t>
        </is>
      </c>
      <c r="N157" s="39" t="inlineStr">
        <is>
          <t>Nile Production Support</t>
        </is>
      </c>
      <c r="O157" s="39" t="inlineStr">
        <is>
          <t>Unassigned</t>
        </is>
      </c>
      <c r="P157" s="39" t="inlineStr">
        <is>
          <t>Sundaramurthy, Ramyavadhana</t>
        </is>
      </c>
      <c r="Q157" s="39" t="inlineStr">
        <is>
          <t>Unresolved</t>
        </is>
      </c>
      <c r="R157" s="40" t="inlineStr">
        <is>
          <t>Waiting for documents</t>
        </is>
      </c>
      <c r="S157" s="39" t="inlineStr"/>
      <c r="T157" s="39" t="inlineStr"/>
      <c r="U157" s="39" t="inlineStr"/>
      <c r="V157" s="51" t="inlineStr">
        <is>
          <t>Other</t>
        </is>
      </c>
      <c r="W157" s="39" t="inlineStr">
        <is>
          <t>Yes</t>
        </is>
      </c>
    </row>
    <row r="158">
      <c r="A158" s="42" t="inlineStr">
        <is>
          <t>IT-2981131</t>
        </is>
      </c>
      <c r="B158" s="42" t="inlineStr">
        <is>
          <t>IT-2981131</t>
        </is>
      </c>
      <c r="C158" s="42" t="inlineStr"/>
      <c r="D158" s="43" t="inlineStr">
        <is>
          <t>Need a copy of data from Nile PROD to Nile Dev Location</t>
        </is>
      </c>
      <c r="E158" s="43"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3" t="inlineStr">
        <is>
          <t>data copied as requested and verified.</t>
        </is>
      </c>
      <c r="H158" s="42" t="inlineStr">
        <is>
          <t>Other</t>
        </is>
      </c>
      <c r="I158" s="42" t="inlineStr">
        <is>
          <t>Other</t>
        </is>
      </c>
      <c r="J158" s="42" t="inlineStr"/>
      <c r="K158" s="42" t="inlineStr">
        <is>
          <t>Closed</t>
        </is>
      </c>
      <c r="L158" s="42" t="inlineStr">
        <is>
          <t>2026-04-09</t>
        </is>
      </c>
      <c r="M158" s="42" t="inlineStr">
        <is>
          <t>2026-04-09</t>
        </is>
      </c>
      <c r="N158" s="42" t="inlineStr">
        <is>
          <t>Nile Production Support</t>
        </is>
      </c>
      <c r="O158" s="42" t="inlineStr">
        <is>
          <t>Unassigned</t>
        </is>
      </c>
      <c r="P158" s="42" t="inlineStr">
        <is>
          <t>Vadla, Shivani</t>
        </is>
      </c>
      <c r="Q158" s="42" t="inlineStr">
        <is>
          <t>Resolved</t>
        </is>
      </c>
      <c r="R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42" t="inlineStr"/>
      <c r="T158" s="42" t="inlineStr"/>
      <c r="U158" s="42" t="inlineStr"/>
      <c r="V158" s="50" t="inlineStr">
        <is>
          <t>Other</t>
        </is>
      </c>
      <c r="W158" s="42" t="inlineStr">
        <is>
          <t>Yes</t>
        </is>
      </c>
    </row>
    <row r="159">
      <c r="A159" s="39" t="inlineStr">
        <is>
          <t>IT-2980746</t>
        </is>
      </c>
      <c r="B159" s="39" t="inlineStr">
        <is>
          <t>IT-2980746</t>
        </is>
      </c>
      <c r="C159" s="39" t="inlineStr"/>
      <c r="D159" s="40" t="inlineStr">
        <is>
          <t>Pipeline: dm-uhc-csp-actian-migration_sub_group | Errors Found 20260405</t>
        </is>
      </c>
      <c r="E159" s="40"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40" t="inlineStr">
        <is>
          <t>updated Validation UDC and reran the pipeline. completed also Thanks Satish Devatha</t>
        </is>
      </c>
      <c r="G159" s="40" t="inlineStr">
        <is>
          <t>Pipeline completed</t>
        </is>
      </c>
      <c r="H159" s="39" t="inlineStr">
        <is>
          <t>Other</t>
        </is>
      </c>
      <c r="I159" s="39" t="inlineStr">
        <is>
          <t>Other</t>
        </is>
      </c>
      <c r="J159" s="39" t="inlineStr"/>
      <c r="K159" s="39" t="inlineStr">
        <is>
          <t>Closed</t>
        </is>
      </c>
      <c r="L159" s="39" t="inlineStr">
        <is>
          <t>2026-04-09</t>
        </is>
      </c>
      <c r="M159" s="39" t="inlineStr">
        <is>
          <t>2026-04-09</t>
        </is>
      </c>
      <c r="N159" s="39" t="inlineStr">
        <is>
          <t>Nile Production Support</t>
        </is>
      </c>
      <c r="O159" s="39" t="inlineStr">
        <is>
          <t>Unassigned</t>
        </is>
      </c>
      <c r="P159" s="39" t="inlineStr">
        <is>
          <t>Enid Ike</t>
        </is>
      </c>
      <c r="Q159" s="39" t="inlineStr">
        <is>
          <t>Resolved</t>
        </is>
      </c>
      <c r="R159" s="40" t="inlineStr">
        <is>
          <t>updated Validation UDC and reran the pipeline. completed also Thanks Satish Devatha</t>
        </is>
      </c>
      <c r="S159" s="39" t="inlineStr"/>
      <c r="T159" s="39" t="inlineStr"/>
      <c r="U159" s="39" t="inlineStr"/>
      <c r="V159" s="45" t="inlineStr">
        <is>
          <t>Configuration Issue</t>
        </is>
      </c>
      <c r="W159" s="39" t="inlineStr"/>
    </row>
    <row r="160">
      <c r="A160" s="42" t="inlineStr">
        <is>
          <t>IT-2980704</t>
        </is>
      </c>
      <c r="B160" s="42" t="inlineStr">
        <is>
          <t>IT-2980704</t>
        </is>
      </c>
      <c r="C160" s="42" t="inlineStr"/>
      <c r="D160" s="43" t="inlineStr">
        <is>
          <t>help needed on prioritize UHC process on dc-pine</t>
        </is>
      </c>
      <c r="E160" s="43" t="inlineStr">
        <is>
          <t>Nile Team these are the priority of the process that runs on dc-pine, highlight in yellow below need Nile help, would you please help and let us know if you have any questions? please see attached message</t>
        </is>
      </c>
      <c r="F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3" t="inlineStr">
        <is>
          <t>paused pipelines as requested.</t>
        </is>
      </c>
      <c r="H160" s="42" t="inlineStr">
        <is>
          <t>Other</t>
        </is>
      </c>
      <c r="I160" s="42" t="inlineStr">
        <is>
          <t>Other</t>
        </is>
      </c>
      <c r="J160" s="42" t="inlineStr"/>
      <c r="K160" s="42" t="inlineStr">
        <is>
          <t>Closed</t>
        </is>
      </c>
      <c r="L160" s="42" t="inlineStr">
        <is>
          <t>2026-04-09</t>
        </is>
      </c>
      <c r="M160" s="42" t="inlineStr">
        <is>
          <t>2026-04-09</t>
        </is>
      </c>
      <c r="N160" s="42" t="inlineStr">
        <is>
          <t>Nile Production Support</t>
        </is>
      </c>
      <c r="O160" s="42" t="inlineStr">
        <is>
          <t>Unassigned</t>
        </is>
      </c>
      <c r="P160" s="42" t="inlineStr">
        <is>
          <t>Tang, Chao</t>
        </is>
      </c>
      <c r="Q160" s="42" t="inlineStr">
        <is>
          <t>Resolved</t>
        </is>
      </c>
      <c r="R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42" t="inlineStr"/>
      <c r="T160" s="42" t="inlineStr"/>
      <c r="U160" s="42" t="inlineStr"/>
      <c r="V160" s="64" t="inlineStr">
        <is>
          <t>DB Issue</t>
        </is>
      </c>
      <c r="W160" s="42" t="inlineStr"/>
    </row>
    <row r="161">
      <c r="A161" s="39" t="inlineStr">
        <is>
          <t>IT-2980439</t>
        </is>
      </c>
      <c r="B161" s="39" t="inlineStr">
        <is>
          <t>IT-2980439</t>
        </is>
      </c>
      <c r="C161" s="39" t="inlineStr"/>
      <c r="D161" s="40" t="inlineStr">
        <is>
          <t>Created a runbook for Lean ingestion pipelines for Premera and Geisinger.</t>
        </is>
      </c>
      <c r="E161" s="40" t="inlineStr">
        <is>
          <t>Geisinger Facets_PPM_Lean_Ingestion_Run_Book.docx Premera BlueCross_PPM_Lean_Ingestion_Run_Book.docx</t>
        </is>
      </c>
      <c r="F161" s="40" t="inlineStr">
        <is>
          <t>Geisinger Facets_PPM_Lean_Ingestion_Run_Book.docx Premera BlueCross_PPM_Lean_Ingestion_Run_Book.docx</t>
        </is>
      </c>
      <c r="G161" s="40" t="inlineStr">
        <is>
          <t>Attached the run books in the comments.</t>
        </is>
      </c>
      <c r="H161" s="39" t="inlineStr">
        <is>
          <t>Other</t>
        </is>
      </c>
      <c r="I161" s="39" t="inlineStr">
        <is>
          <t>Other</t>
        </is>
      </c>
      <c r="J161" s="39" t="inlineStr"/>
      <c r="K161" s="39" t="inlineStr">
        <is>
          <t>Closed</t>
        </is>
      </c>
      <c r="L161" s="39" t="inlineStr">
        <is>
          <t>2026-04-09</t>
        </is>
      </c>
      <c r="M161" s="39" t="inlineStr">
        <is>
          <t>2026-04-09</t>
        </is>
      </c>
      <c r="N161" s="39" t="inlineStr">
        <is>
          <t>Nile Production Support</t>
        </is>
      </c>
      <c r="O161" s="39" t="inlineStr">
        <is>
          <t>Unassigned</t>
        </is>
      </c>
      <c r="P161" s="39" t="inlineStr">
        <is>
          <t>Karakavalasa, SriVarshini</t>
        </is>
      </c>
      <c r="Q161" s="39" t="inlineStr">
        <is>
          <t>Resolved</t>
        </is>
      </c>
      <c r="R161" s="40" t="inlineStr">
        <is>
          <t>Geisinger Facets_PPM_Lean_Ingestion_Run_Book.docx Premera BlueCross_PPM_Lean_Ingestion_Run_Book.docx</t>
        </is>
      </c>
      <c r="S161" s="39" t="inlineStr"/>
      <c r="T161" s="39" t="inlineStr"/>
      <c r="U161" s="39" t="inlineStr"/>
      <c r="V161" s="51" t="inlineStr">
        <is>
          <t>Other</t>
        </is>
      </c>
      <c r="W161" s="39" t="inlineStr">
        <is>
          <t>Yes</t>
        </is>
      </c>
    </row>
    <row r="162">
      <c r="A162" s="42" t="inlineStr">
        <is>
          <t>IT-2980134</t>
        </is>
      </c>
      <c r="B162" s="42" t="inlineStr">
        <is>
          <t>IT-2980134</t>
        </is>
      </c>
      <c r="C162" s="42" t="inlineStr"/>
      <c r="D162" s="43" t="inlineStr">
        <is>
          <t>Kaiser nw OLA Configuration Update</t>
        </is>
      </c>
      <c r="E162" s="43" t="inlineStr">
        <is>
          <t>Update Kaiser nw OLA Configuration setup in ProdOps to avoid unnecessary pipeline status in monitoring tab.</t>
        </is>
      </c>
      <c r="F162" s="43" t="inlineStr">
        <is>
          <t>Updated the OLA setup configuration in prodops. Need to wait for next execution for tomorrow. OLA setup not working as expected, Re configured the setup and will monitor for couple of days. OLA config updated and working as expected.</t>
        </is>
      </c>
      <c r="G162" s="43" t="inlineStr">
        <is>
          <t>OLA config updated and working as expected.</t>
        </is>
      </c>
      <c r="H162" s="42" t="inlineStr">
        <is>
          <t>Other</t>
        </is>
      </c>
      <c r="I162" s="42" t="inlineStr">
        <is>
          <t>Other</t>
        </is>
      </c>
      <c r="J162" s="42" t="inlineStr"/>
      <c r="K162" s="42" t="inlineStr">
        <is>
          <t>Closed</t>
        </is>
      </c>
      <c r="L162" s="42" t="inlineStr">
        <is>
          <t>2026-04-09</t>
        </is>
      </c>
      <c r="M162" s="42" t="inlineStr">
        <is>
          <t>2026-05-01</t>
        </is>
      </c>
      <c r="N162" s="42" t="inlineStr">
        <is>
          <t>Nile Production Support</t>
        </is>
      </c>
      <c r="O162" s="42" t="inlineStr">
        <is>
          <t>Unassigned</t>
        </is>
      </c>
      <c r="P162" s="42" t="inlineStr">
        <is>
          <t>Kamsetty, Sravani</t>
        </is>
      </c>
      <c r="Q162" s="42" t="inlineStr">
        <is>
          <t>Resolved</t>
        </is>
      </c>
      <c r="R162" s="43" t="inlineStr">
        <is>
          <t>Updated the OLA setup configuration in prodops. Need to wait for next execution for tomorrow. OLA setup not working as expected, Re configured the setup and will monitor for couple of days. OLA config updated and working as expected.</t>
        </is>
      </c>
      <c r="S162" s="42" t="inlineStr"/>
      <c r="T162" s="42" t="inlineStr"/>
      <c r="U162" s="42" t="inlineStr"/>
      <c r="V162" s="54" t="inlineStr">
        <is>
          <t>Configuration Issue</t>
        </is>
      </c>
      <c r="W162" s="42" t="inlineStr"/>
    </row>
    <row r="163">
      <c r="A163" s="39" t="inlineStr">
        <is>
          <t>IT-2979566</t>
        </is>
      </c>
      <c r="B163" s="39" t="inlineStr">
        <is>
          <t>IT-2979566</t>
        </is>
      </c>
      <c r="C163" s="39" t="inlineStr"/>
      <c r="D163" s="40" t="inlineStr">
        <is>
          <t>fwa-BCBSND-OSCAR_member_GDF2_3 Pipeline Got failed.</t>
        </is>
      </c>
      <c r="E163" s="40" t="inlineStr">
        <is>
          <t>fwa-BCBSND-OSCAR_member_GDF2_3 Pipeline Got failed due to Unmatched Raw Data count.</t>
        </is>
      </c>
      <c r="F163" s="40" t="inlineStr">
        <is>
          <t>Both ingestion dates 4/8 and 4/15 completed successfully.</t>
        </is>
      </c>
      <c r="G163" s="40" t="inlineStr">
        <is>
          <t>Both ingestion dates 4/8 and 4/15 completed successfully.</t>
        </is>
      </c>
      <c r="H163" s="39" t="inlineStr">
        <is>
          <t>Other</t>
        </is>
      </c>
      <c r="I163" s="39" t="inlineStr">
        <is>
          <t>Other</t>
        </is>
      </c>
      <c r="J163" s="39" t="inlineStr"/>
      <c r="K163" s="39" t="inlineStr">
        <is>
          <t>Closed</t>
        </is>
      </c>
      <c r="L163" s="39" t="inlineStr">
        <is>
          <t>2026-04-09</t>
        </is>
      </c>
      <c r="M163" s="39" t="inlineStr">
        <is>
          <t>2026-04-30</t>
        </is>
      </c>
      <c r="N163" s="39" t="inlineStr">
        <is>
          <t>Nile Production Support</t>
        </is>
      </c>
      <c r="O163" s="39" t="inlineStr">
        <is>
          <t>Unassigned</t>
        </is>
      </c>
      <c r="P163" s="39" t="inlineStr">
        <is>
          <t>Aryal, Neerajan</t>
        </is>
      </c>
      <c r="Q163" s="39" t="inlineStr">
        <is>
          <t>Resolved</t>
        </is>
      </c>
      <c r="R163" s="40" t="inlineStr">
        <is>
          <t>Both ingestion dates 4/8 and 4/15 completed successfully.</t>
        </is>
      </c>
      <c r="S163" s="39" t="inlineStr"/>
      <c r="T163" s="39" t="inlineStr"/>
      <c r="U163" s="39" t="inlineStr"/>
      <c r="V163" s="56" t="inlineStr">
        <is>
          <t>Unmatched raw data count</t>
        </is>
      </c>
      <c r="W163" s="39" t="inlineStr"/>
    </row>
    <row r="164">
      <c r="A164" s="42" t="inlineStr">
        <is>
          <t>IT-2979439</t>
        </is>
      </c>
      <c r="B164" s="42" t="inlineStr">
        <is>
          <t>IT-2979439</t>
        </is>
      </c>
      <c r="C164" s="42" t="inlineStr"/>
      <c r="D164" s="43" t="inlineStr">
        <is>
          <t>Cignamedicare files not spooled to nile</t>
        </is>
      </c>
      <c r="E164" s="43" t="inlineStr">
        <is>
          <t>Cignamedicare files not copied from axway to b2b and files are not spooling to nile.</t>
        </is>
      </c>
      <c r="F164" s="43" t="inlineStr">
        <is>
          <t>Client placed the files in wrong folder location in axway. Worked with mft team to copy the files to usual location. Files spooled and processed successfully. FYI: https://jiraet.cotiviti.com/plugins/servlet/desk/portal/7/IT-2977360</t>
        </is>
      </c>
      <c r="G164" s="43" t="inlineStr">
        <is>
          <t>Files spooled and processed successfully with the help of MFT team.</t>
        </is>
      </c>
      <c r="H164" s="42" t="inlineStr">
        <is>
          <t>Other</t>
        </is>
      </c>
      <c r="I164" s="42" t="inlineStr">
        <is>
          <t>Other</t>
        </is>
      </c>
      <c r="J164" s="42" t="inlineStr"/>
      <c r="K164" s="42" t="inlineStr">
        <is>
          <t>Closed</t>
        </is>
      </c>
      <c r="L164" s="42" t="inlineStr">
        <is>
          <t>2026-04-09</t>
        </is>
      </c>
      <c r="M164" s="42" t="inlineStr">
        <is>
          <t>2026-04-09</t>
        </is>
      </c>
      <c r="N164" s="42" t="inlineStr">
        <is>
          <t>Nile Production Support</t>
        </is>
      </c>
      <c r="O164" s="42" t="inlineStr">
        <is>
          <t>Unassigned</t>
        </is>
      </c>
      <c r="P164" s="42" t="inlineStr">
        <is>
          <t>Kamsetty, Sravani</t>
        </is>
      </c>
      <c r="Q164" s="42" t="inlineStr">
        <is>
          <t>Resolved</t>
        </is>
      </c>
      <c r="R164" s="43" t="inlineStr">
        <is>
          <t>Client placed the files in wrong folder location in axway. Worked with mft team to copy the files to usual location. Files spooled and processed successfully. FYI: https://jiraet.cotiviti.com/plugins/servlet/desk/portal/7/IT-2977360</t>
        </is>
      </c>
      <c r="S164" s="42" t="inlineStr"/>
      <c r="T164" s="42" t="inlineStr"/>
      <c r="U164" s="42" t="inlineStr"/>
      <c r="V164" s="57" t="inlineStr">
        <is>
          <t>Spooler issue</t>
        </is>
      </c>
      <c r="W164" s="42" t="inlineStr"/>
    </row>
    <row r="165">
      <c r="A165" s="39" t="inlineStr">
        <is>
          <t>IT-2979115</t>
        </is>
      </c>
      <c r="B165" s="39" t="inlineStr">
        <is>
          <t>IT-2979115</t>
        </is>
      </c>
      <c r="C165" s="39" t="inlineStr"/>
      <c r="D165" s="40" t="inlineStr">
        <is>
          <t>Pipeline failing with broadcast issue: dm-uhc-cirrus-actian_migration_entity_cir_cladeny</t>
        </is>
      </c>
      <c r="E165" s="40" t="inlineStr">
        <is>
          <t>Hi team, Please help resolving the broadcast issue for pipeline dm-uhc-cirrus-actian_migration_entity_cir_cladeny. Let me know how we can fix this in future. Thanks.</t>
        </is>
      </c>
      <c r="F165" s="40" t="inlineStr">
        <is>
          <t>added a spark config uration in a module so broadcast issus is no longer an issue</t>
        </is>
      </c>
      <c r="G165" s="40" t="inlineStr">
        <is>
          <t>inserted spark executor and pass the override. Solved the broadcast issues</t>
        </is>
      </c>
      <c r="H165" s="39" t="inlineStr">
        <is>
          <t>Other</t>
        </is>
      </c>
      <c r="I165" s="39" t="inlineStr">
        <is>
          <t>Other</t>
        </is>
      </c>
      <c r="J165" s="39" t="inlineStr"/>
      <c r="K165" s="39" t="inlineStr">
        <is>
          <t>Closed</t>
        </is>
      </c>
      <c r="L165" s="39" t="inlineStr">
        <is>
          <t>2026-04-08</t>
        </is>
      </c>
      <c r="M165" s="39" t="inlineStr">
        <is>
          <t>2026-04-12</t>
        </is>
      </c>
      <c r="N165" s="39" t="inlineStr">
        <is>
          <t>Nile Production Support</t>
        </is>
      </c>
      <c r="O165" s="39" t="inlineStr">
        <is>
          <t>Unassigned</t>
        </is>
      </c>
      <c r="P165" s="39" t="inlineStr">
        <is>
          <t>Kamsetty, Sravani</t>
        </is>
      </c>
      <c r="Q165" s="39" t="inlineStr">
        <is>
          <t>Done</t>
        </is>
      </c>
      <c r="R165" s="40" t="inlineStr">
        <is>
          <t>added a spark config uration in a module so broadcast issus is no longer an issue</t>
        </is>
      </c>
      <c r="S165" s="39" t="inlineStr"/>
      <c r="T165" s="39" t="inlineStr"/>
      <c r="U165" s="39" t="inlineStr"/>
      <c r="V165" s="62" t="inlineStr">
        <is>
          <t>DB Issue</t>
        </is>
      </c>
      <c r="W165" s="39" t="inlineStr"/>
    </row>
    <row r="166">
      <c r="A166" s="42" t="inlineStr">
        <is>
          <t>IT-2978929</t>
        </is>
      </c>
      <c r="B166" s="42" t="inlineStr">
        <is>
          <t>IT-2978929</t>
        </is>
      </c>
      <c r="C166" s="42" t="inlineStr"/>
      <c r="D166" s="43" t="inlineStr">
        <is>
          <t>Please spool ASO_CONTRACTS and EXTWEBW</t>
        </is>
      </c>
      <c r="E166" s="43"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3" t="inlineStr">
        <is>
          <t>I received closer confirmation from the user. closed this ticket.</t>
        </is>
      </c>
      <c r="H166" s="42" t="inlineStr">
        <is>
          <t>Other</t>
        </is>
      </c>
      <c r="I166" s="42" t="inlineStr">
        <is>
          <t>Other</t>
        </is>
      </c>
      <c r="J166" s="42" t="inlineStr"/>
      <c r="K166" s="42" t="inlineStr">
        <is>
          <t>Closed</t>
        </is>
      </c>
      <c r="L166" s="42" t="inlineStr">
        <is>
          <t>2026-04-08</t>
        </is>
      </c>
      <c r="M166" s="42" t="inlineStr">
        <is>
          <t>2026-04-14</t>
        </is>
      </c>
      <c r="N166" s="42" t="inlineStr">
        <is>
          <t>Nile Production Support</t>
        </is>
      </c>
      <c r="O166" s="42" t="inlineStr">
        <is>
          <t>Unassigned</t>
        </is>
      </c>
      <c r="P166" s="42" t="inlineStr">
        <is>
          <t>Suryani, Melly</t>
        </is>
      </c>
      <c r="Q166" s="42" t="inlineStr">
        <is>
          <t>Resolved</t>
        </is>
      </c>
      <c r="R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42" t="inlineStr"/>
      <c r="T166" s="42" t="inlineStr"/>
      <c r="U166" s="42" t="inlineStr"/>
      <c r="V166" s="57" t="inlineStr">
        <is>
          <t>Spooler issue</t>
        </is>
      </c>
      <c r="W166" s="42" t="inlineStr"/>
    </row>
    <row r="167">
      <c r="A167" s="39" t="inlineStr">
        <is>
          <t>IT-2978844</t>
        </is>
      </c>
      <c r="B167" s="39" t="inlineStr">
        <is>
          <t>IT-2978844</t>
        </is>
      </c>
      <c r="C167" s="39" t="inlineStr"/>
      <c r="D167" s="40" t="inlineStr">
        <is>
          <t>Please ingest March files for Cignamedicare Facet DRG</t>
        </is>
      </c>
      <c r="E167" s="40"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40" t="inlineStr">
        <is>
          <t>the files have been ingested but FaclHeader still does not have PAR_YN field</t>
        </is>
      </c>
      <c r="G167" s="40" t="inlineStr">
        <is>
          <t>ingestd and delivered files. Reversed FaclHeader as PAR_YN is still not being sent by client</t>
        </is>
      </c>
      <c r="H167" s="39" t="inlineStr">
        <is>
          <t>Other</t>
        </is>
      </c>
      <c r="I167" s="39" t="inlineStr">
        <is>
          <t>Other</t>
        </is>
      </c>
      <c r="J167" s="39" t="inlineStr"/>
      <c r="K167" s="39" t="inlineStr">
        <is>
          <t>Closed</t>
        </is>
      </c>
      <c r="L167" s="39" t="inlineStr">
        <is>
          <t>2026-04-08</t>
        </is>
      </c>
      <c r="M167" s="39" t="inlineStr">
        <is>
          <t>2026-04-12</t>
        </is>
      </c>
      <c r="N167" s="39" t="inlineStr">
        <is>
          <t>Nile Production Support</t>
        </is>
      </c>
      <c r="O167" s="39" t="inlineStr">
        <is>
          <t>Unassigned</t>
        </is>
      </c>
      <c r="P167" s="39" t="inlineStr">
        <is>
          <t>Suryani, Melly</t>
        </is>
      </c>
      <c r="Q167" s="39" t="inlineStr">
        <is>
          <t>Resolved</t>
        </is>
      </c>
      <c r="R167" s="40" t="inlineStr">
        <is>
          <t>the files have been ingested but FaclHeader still does not have PAR_YN field</t>
        </is>
      </c>
      <c r="S167" s="39" t="inlineStr"/>
      <c r="T167" s="39" t="inlineStr"/>
      <c r="U167" s="39" t="inlineStr"/>
      <c r="V167" s="53" t="inlineStr">
        <is>
          <t>Spooler issue</t>
        </is>
      </c>
      <c r="W167" s="39" t="inlineStr"/>
    </row>
    <row r="168">
      <c r="A168" s="42" t="inlineStr">
        <is>
          <t>IT-2978615</t>
        </is>
      </c>
      <c r="B168" s="42" t="inlineStr">
        <is>
          <t>IT-2978615</t>
        </is>
      </c>
      <c r="C168" s="42" t="inlineStr"/>
      <c r="D168" s="43" t="inlineStr">
        <is>
          <t>ND Raw Data Request</t>
        </is>
      </c>
      <c r="E168" s="43"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3" t="inlineStr"/>
      <c r="G168" s="43" t="inlineStr"/>
      <c r="H168" s="42" t="inlineStr">
        <is>
          <t>Other</t>
        </is>
      </c>
      <c r="I168" s="42" t="inlineStr">
        <is>
          <t>Other</t>
        </is>
      </c>
      <c r="J168" s="42" t="inlineStr"/>
      <c r="K168" s="42" t="inlineStr">
        <is>
          <t>In Progress (HD1)</t>
        </is>
      </c>
      <c r="L168" s="42" t="inlineStr">
        <is>
          <t>2026-04-08</t>
        </is>
      </c>
      <c r="M168" s="42" t="inlineStr">
        <is>
          <t>2026-04-09</t>
        </is>
      </c>
      <c r="N168" s="42" t="inlineStr">
        <is>
          <t>Nile Production Support</t>
        </is>
      </c>
      <c r="O168" s="42" t="inlineStr">
        <is>
          <t>Unassigned</t>
        </is>
      </c>
      <c r="P168" s="42" t="inlineStr">
        <is>
          <t>Sadler, Melissa</t>
        </is>
      </c>
      <c r="Q168" s="42" t="inlineStr">
        <is>
          <t>Unresolved</t>
        </is>
      </c>
      <c r="R168" s="43" t="inlineStr"/>
      <c r="S168" s="42" t="inlineStr"/>
      <c r="T168" s="42" t="inlineStr"/>
      <c r="U168" s="42" t="inlineStr"/>
      <c r="V168" s="52" t="inlineStr">
        <is>
          <t>Data Issue</t>
        </is>
      </c>
      <c r="W168" s="42" t="inlineStr"/>
    </row>
    <row r="169">
      <c r="A169" s="39" t="inlineStr">
        <is>
          <t>IT-2978418</t>
        </is>
      </c>
      <c r="B169" s="39" t="inlineStr">
        <is>
          <t>IT-2978418</t>
        </is>
      </c>
      <c r="C169" s="39" t="inlineStr"/>
      <c r="D169" s="40" t="inlineStr">
        <is>
          <t>Triple S TRICM history test files resent</t>
        </is>
      </c>
      <c r="E169" s="40"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40" t="inlineStr"/>
      <c r="G169" s="40" t="inlineStr">
        <is>
          <t>Processed the test files</t>
        </is>
      </c>
      <c r="H169" s="39" t="inlineStr">
        <is>
          <t>Other</t>
        </is>
      </c>
      <c r="I169" s="39" t="inlineStr">
        <is>
          <t>Other</t>
        </is>
      </c>
      <c r="J169" s="39" t="inlineStr"/>
      <c r="K169" s="39" t="inlineStr">
        <is>
          <t>Closed</t>
        </is>
      </c>
      <c r="L169" s="39" t="inlineStr">
        <is>
          <t>2026-04-08</t>
        </is>
      </c>
      <c r="M169" s="39" t="inlineStr">
        <is>
          <t>2026-04-08</t>
        </is>
      </c>
      <c r="N169" s="39" t="inlineStr">
        <is>
          <t>Nile Production Support</t>
        </is>
      </c>
      <c r="O169" s="39" t="inlineStr">
        <is>
          <t>Unassigned</t>
        </is>
      </c>
      <c r="P169" s="39" t="inlineStr">
        <is>
          <t>Mascari, Sara</t>
        </is>
      </c>
      <c r="Q169" s="39" t="inlineStr">
        <is>
          <t>Resolved</t>
        </is>
      </c>
      <c r="R169" s="40" t="inlineStr"/>
      <c r="S169" s="39" t="inlineStr"/>
      <c r="T169" s="39" t="inlineStr"/>
      <c r="U169" s="39" t="inlineStr"/>
      <c r="V169" s="49" t="inlineStr">
        <is>
          <t>File Issue</t>
        </is>
      </c>
      <c r="W169" s="39" t="inlineStr"/>
    </row>
    <row r="170">
      <c r="A170" s="42" t="inlineStr">
        <is>
          <t>IT-2978338</t>
        </is>
      </c>
      <c r="B170" s="42" t="inlineStr">
        <is>
          <t>IT-2978338</t>
        </is>
      </c>
      <c r="C170" s="42" t="inlineStr"/>
      <c r="D170" s="43" t="inlineStr">
        <is>
          <t>Please update these spoolers with new quarterly Centene password</t>
        </is>
      </c>
      <c r="E170" s="43"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3" t="inlineStr">
        <is>
          <t>all spoolers updated and connection validated</t>
        </is>
      </c>
      <c r="G170" s="43" t="inlineStr">
        <is>
          <t>all spoolers using sftp.centene.com have been tested. These spoolers are meant to be used to temporarily replace the ones created to access T2</t>
        </is>
      </c>
      <c r="H170" s="42" t="inlineStr">
        <is>
          <t>Other</t>
        </is>
      </c>
      <c r="I170" s="42" t="inlineStr">
        <is>
          <t>Other</t>
        </is>
      </c>
      <c r="J170" s="42" t="inlineStr"/>
      <c r="K170" s="42" t="inlineStr">
        <is>
          <t>Closed</t>
        </is>
      </c>
      <c r="L170" s="42" t="inlineStr">
        <is>
          <t>2026-04-08</t>
        </is>
      </c>
      <c r="M170" s="42" t="inlineStr">
        <is>
          <t>2026-04-11</t>
        </is>
      </c>
      <c r="N170" s="42" t="inlineStr">
        <is>
          <t>Nile Production Support</t>
        </is>
      </c>
      <c r="O170" s="42" t="inlineStr">
        <is>
          <t>Unassigned</t>
        </is>
      </c>
      <c r="P170" s="42" t="inlineStr">
        <is>
          <t>Suryani, Melly</t>
        </is>
      </c>
      <c r="Q170" s="42" t="inlineStr">
        <is>
          <t>Resolved</t>
        </is>
      </c>
      <c r="R170" s="43" t="inlineStr">
        <is>
          <t>all spoolers updated and connection validated</t>
        </is>
      </c>
      <c r="S170" s="42" t="inlineStr"/>
      <c r="T170" s="42" t="inlineStr"/>
      <c r="U170" s="42" t="inlineStr"/>
      <c r="V170" s="57" t="inlineStr">
        <is>
          <t>Spooler issue</t>
        </is>
      </c>
      <c r="W170" s="42" t="inlineStr"/>
    </row>
    <row r="171">
      <c r="A171" s="39" t="inlineStr">
        <is>
          <t>IT-2977978</t>
        </is>
      </c>
      <c r="B171" s="39" t="inlineStr">
        <is>
          <t>IT-2977978</t>
        </is>
      </c>
      <c r="C171" s="39" t="inlineStr"/>
      <c r="D171" s="40" t="inlineStr">
        <is>
          <t>Unmated Calims_ICD10 Count | Pipeline: dm-fideliscare-centene-passthrough_Claims_ICD10 | Data Date: 2026/04/05 | Zero Ingested Row Count</t>
        </is>
      </c>
      <c r="E171" s="40"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40" t="inlineStr">
        <is>
          <t>all rows ingested after we accommodated the extra field that the client sent</t>
        </is>
      </c>
      <c r="H171" s="39" t="inlineStr">
        <is>
          <t>Other</t>
        </is>
      </c>
      <c r="I171" s="39" t="inlineStr">
        <is>
          <t>Other</t>
        </is>
      </c>
      <c r="J171" s="39" t="inlineStr"/>
      <c r="K171" s="39" t="inlineStr">
        <is>
          <t>Closed</t>
        </is>
      </c>
      <c r="L171" s="39" t="inlineStr">
        <is>
          <t>2026-04-08</t>
        </is>
      </c>
      <c r="M171" s="39" t="inlineStr">
        <is>
          <t>2026-04-11</t>
        </is>
      </c>
      <c r="N171" s="39" t="inlineStr">
        <is>
          <t>Nile Production Support</t>
        </is>
      </c>
      <c r="O171" s="39" t="inlineStr">
        <is>
          <t>Unassigned</t>
        </is>
      </c>
      <c r="P171" s="39" t="inlineStr">
        <is>
          <t>Enid Ike</t>
        </is>
      </c>
      <c r="Q171" s="39" t="inlineStr">
        <is>
          <t>Resolved</t>
        </is>
      </c>
      <c r="R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9" t="inlineStr"/>
      <c r="T171" s="39" t="inlineStr"/>
      <c r="U171" s="39" t="inlineStr"/>
      <c r="V171" s="47" t="inlineStr">
        <is>
          <t>Data Issue</t>
        </is>
      </c>
      <c r="W171" s="39" t="inlineStr"/>
    </row>
    <row r="172">
      <c r="A172" s="42" t="inlineStr">
        <is>
          <t>IT-2977604</t>
        </is>
      </c>
      <c r="B172" s="42" t="inlineStr">
        <is>
          <t>IT-2977604</t>
        </is>
      </c>
      <c r="C172" s="42" t="inlineStr"/>
      <c r="D172" s="43" t="inlineStr">
        <is>
          <t>HCSC member customer accountnum issue</t>
        </is>
      </c>
      <c r="E172" s="43"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3" t="inlineStr"/>
      <c r="H172" s="42" t="inlineStr">
        <is>
          <t>Other</t>
        </is>
      </c>
      <c r="I172" s="42" t="inlineStr">
        <is>
          <t>Other</t>
        </is>
      </c>
      <c r="J172" s="42" t="inlineStr"/>
      <c r="K172" s="42" t="inlineStr">
        <is>
          <t>On Hold</t>
        </is>
      </c>
      <c r="L172" s="42" t="inlineStr">
        <is>
          <t>2026-04-08</t>
        </is>
      </c>
      <c r="M172" s="42" t="inlineStr">
        <is>
          <t>2026-05-05</t>
        </is>
      </c>
      <c r="N172" s="42" t="inlineStr">
        <is>
          <t>Nile Production Support</t>
        </is>
      </c>
      <c r="O172" s="42" t="inlineStr">
        <is>
          <t>Unassigned</t>
        </is>
      </c>
      <c r="P172" s="42" t="inlineStr">
        <is>
          <t>Tang, Chao</t>
        </is>
      </c>
      <c r="Q172" s="42" t="inlineStr">
        <is>
          <t>Unresolved</t>
        </is>
      </c>
      <c r="R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42" t="inlineStr"/>
      <c r="T172" s="42" t="inlineStr"/>
      <c r="U172" s="42" t="inlineStr"/>
      <c r="V172" s="52" t="inlineStr">
        <is>
          <t>Data Issue</t>
        </is>
      </c>
      <c r="W172" s="42" t="inlineStr"/>
    </row>
    <row r="173">
      <c r="A173" s="39" t="inlineStr">
        <is>
          <t>IT-2976563</t>
        </is>
      </c>
      <c r="B173" s="39" t="inlineStr">
        <is>
          <t>IT-2976563</t>
        </is>
      </c>
      <c r="C173" s="39" t="inlineStr"/>
      <c r="D173" s="40" t="inlineStr">
        <is>
          <t>Pipeline got stucked in DB Writer Stage.</t>
        </is>
      </c>
      <c r="E173" s="40" t="inlineStr">
        <is>
          <t>Pipeline got stucked in DB Writer Stage. Pipeline ID: 2024-02-26-63496249 2024-03-01-10893538 2024-03-01-13379566 2024-03-01-18139436 2024-02-28-126517636 2024-04-01-18237500 2024-03-01-14034327 2024-03-01-15357664 1 Failed Pipeline expect DB Writer Stage: 2024-03-01-14923324</t>
        </is>
      </c>
      <c r="F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40" t="inlineStr">
        <is>
          <t>Pipeline issue fixed and closing the ticket.</t>
        </is>
      </c>
      <c r="H173" s="39" t="inlineStr">
        <is>
          <t>Other</t>
        </is>
      </c>
      <c r="I173" s="39" t="inlineStr">
        <is>
          <t>Other</t>
        </is>
      </c>
      <c r="J173" s="39" t="inlineStr"/>
      <c r="K173" s="39" t="inlineStr">
        <is>
          <t>Closed</t>
        </is>
      </c>
      <c r="L173" s="39" t="inlineStr">
        <is>
          <t>2026-04-07</t>
        </is>
      </c>
      <c r="M173" s="39" t="inlineStr">
        <is>
          <t>2026-04-15</t>
        </is>
      </c>
      <c r="N173" s="39" t="inlineStr">
        <is>
          <t>Nile Production Support</t>
        </is>
      </c>
      <c r="O173" s="39" t="inlineStr">
        <is>
          <t>Unassigned</t>
        </is>
      </c>
      <c r="P173" s="39" t="inlineStr">
        <is>
          <t>Aryal, Neerajan</t>
        </is>
      </c>
      <c r="Q173" s="39" t="inlineStr">
        <is>
          <t>Resolved</t>
        </is>
      </c>
      <c r="R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9" t="inlineStr"/>
      <c r="T173" s="39" t="inlineStr"/>
      <c r="U173" s="39" t="inlineStr"/>
      <c r="V173" s="62" t="inlineStr">
        <is>
          <t>DB Issue</t>
        </is>
      </c>
      <c r="W173" s="39" t="inlineStr"/>
    </row>
    <row r="174">
      <c r="A174" s="42" t="inlineStr">
        <is>
          <t>IT-2976170</t>
        </is>
      </c>
      <c r="B174" s="42" t="inlineStr">
        <is>
          <t>IT-2976170</t>
        </is>
      </c>
      <c r="C174" s="42" t="inlineStr"/>
      <c r="D174" s="43" t="inlineStr">
        <is>
          <t>Please check the Geisinger Facet pipeline, as it is failing with a missing file error.</t>
        </is>
      </c>
      <c r="E174" s="43"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3" t="inlineStr">
        <is>
          <t>Hi Kabeya, Joel All weekly files are arrived, so added override parameter. pipeline is running now Thanks Satish Devatha Pipeline completed</t>
        </is>
      </c>
      <c r="G174" s="43" t="inlineStr">
        <is>
          <t>Pipeline completed</t>
        </is>
      </c>
      <c r="H174" s="42" t="inlineStr">
        <is>
          <t>Other</t>
        </is>
      </c>
      <c r="I174" s="42" t="inlineStr">
        <is>
          <t>Other</t>
        </is>
      </c>
      <c r="J174" s="42" t="inlineStr"/>
      <c r="K174" s="42" t="inlineStr">
        <is>
          <t>Closed</t>
        </is>
      </c>
      <c r="L174" s="42" t="inlineStr">
        <is>
          <t>2026-04-07</t>
        </is>
      </c>
      <c r="M174" s="42" t="inlineStr">
        <is>
          <t>2026-04-08</t>
        </is>
      </c>
      <c r="N174" s="42" t="inlineStr">
        <is>
          <t>Nile Production Support</t>
        </is>
      </c>
      <c r="O174" s="42" t="inlineStr">
        <is>
          <t>Unassigned</t>
        </is>
      </c>
      <c r="P174" s="42" t="inlineStr">
        <is>
          <t>Kabeya, Joel</t>
        </is>
      </c>
      <c r="Q174" s="42" t="inlineStr">
        <is>
          <t>Resolved</t>
        </is>
      </c>
      <c r="R174" s="43" t="inlineStr">
        <is>
          <t>Hi Kabeya, Joel All weekly files are arrived, so added override parameter. pipeline is running now Thanks Satish Devatha Pipeline completed</t>
        </is>
      </c>
      <c r="S174" s="42" t="inlineStr"/>
      <c r="T174" s="42" t="inlineStr"/>
      <c r="U174" s="42" t="inlineStr"/>
      <c r="V174" s="44" t="inlineStr">
        <is>
          <t>File Missing</t>
        </is>
      </c>
      <c r="W174" s="42" t="inlineStr"/>
    </row>
    <row r="175">
      <c r="A175" s="39" t="inlineStr">
        <is>
          <t>IT-2976054</t>
        </is>
      </c>
      <c r="B175" s="39" t="inlineStr">
        <is>
          <t>IT-2976054</t>
        </is>
      </c>
      <c r="C175" s="39" t="inlineStr"/>
      <c r="D175" s="40" t="inlineStr">
        <is>
          <t>Wellpoint file load</t>
        </is>
      </c>
      <c r="E175" s="40" t="inlineStr">
        <is>
          <t>hello nile team we have received the replacement file for the “20260402.CNLY.f.10.fee_sch.clmrpt.zip”. could you please reload the files.</t>
        </is>
      </c>
      <c r="F175" s="40" t="inlineStr">
        <is>
          <t>Hi KC, Sanjeeb Reran pipeline now with new file(after adding override for Metric Drop) Thanks Satish Devatha Hi KC, Sanjeeb pipeline completed Thanks Satish Devatha</t>
        </is>
      </c>
      <c r="G175" s="40" t="inlineStr">
        <is>
          <t>Pipeline completed</t>
        </is>
      </c>
      <c r="H175" s="39" t="inlineStr">
        <is>
          <t>Other</t>
        </is>
      </c>
      <c r="I175" s="39" t="inlineStr">
        <is>
          <t>Other</t>
        </is>
      </c>
      <c r="J175" s="39" t="inlineStr"/>
      <c r="K175" s="39" t="inlineStr">
        <is>
          <t>Closed</t>
        </is>
      </c>
      <c r="L175" s="39" t="inlineStr">
        <is>
          <t>2026-04-07</t>
        </is>
      </c>
      <c r="M175" s="39" t="inlineStr">
        <is>
          <t>2026-04-08</t>
        </is>
      </c>
      <c r="N175" s="39" t="inlineStr">
        <is>
          <t>Nile Production Support</t>
        </is>
      </c>
      <c r="O175" s="39" t="inlineStr">
        <is>
          <t>Unassigned</t>
        </is>
      </c>
      <c r="P175" s="39" t="inlineStr">
        <is>
          <t>KC, Sanjeeb</t>
        </is>
      </c>
      <c r="Q175" s="39" t="inlineStr">
        <is>
          <t>Resolved</t>
        </is>
      </c>
      <c r="R175" s="40" t="inlineStr">
        <is>
          <t>Hi KC, Sanjeeb Reran pipeline now with new file(after adding override for Metric Drop) Thanks Satish Devatha Hi KC, Sanjeeb pipeline completed Thanks Satish Devatha</t>
        </is>
      </c>
      <c r="S175" s="39" t="inlineStr"/>
      <c r="T175" s="39" t="inlineStr"/>
      <c r="U175" s="39" t="inlineStr"/>
      <c r="V175" s="49" t="inlineStr">
        <is>
          <t>File Issue</t>
        </is>
      </c>
      <c r="W175" s="39" t="inlineStr"/>
    </row>
    <row r="176">
      <c r="A176" s="42" t="inlineStr">
        <is>
          <t>IT-2975793</t>
        </is>
      </c>
      <c r="B176" s="42" t="inlineStr">
        <is>
          <t>IT-2975793</t>
        </is>
      </c>
      <c r="C176" s="42" t="inlineStr"/>
      <c r="D176" s="43" t="inlineStr">
        <is>
          <t>HAIEP - Daily file missing - 04/06/2026 and 04/07/2026</t>
        </is>
      </c>
      <c r="E176" s="43" t="inlineStr">
        <is>
          <t>Hi Nile Team, We are missing the below daily file for 04/07/2026. Please check and let us know when we can expect the missing file. haiep_daily_incoming*</t>
        </is>
      </c>
      <c r="F176" s="43" t="inlineStr">
        <is>
          <t>Per the CSM, this client has terminated this process and the last file sent was 4/3. Nile is not expecting any files going forward and therefore PC will not be sent this file. RE: DAILY: Missing File: HAMP TBA professional File not received (20260404)</t>
        </is>
      </c>
      <c r="G176" s="43" t="inlineStr">
        <is>
          <t>Per the CSM, this client has terminated this process and the last file sent was 4/3. Nile is not expecting any files going forward and therefore PC will not be sent this file. RE: DAILY: Missing File: HAMP TBA professional File not received (20260404)</t>
        </is>
      </c>
      <c r="H176" s="42" t="inlineStr"/>
      <c r="I176" s="42" t="inlineStr"/>
      <c r="J176" s="42" t="inlineStr"/>
      <c r="K176" s="42" t="inlineStr">
        <is>
          <t>Closed</t>
        </is>
      </c>
      <c r="L176" s="42" t="inlineStr">
        <is>
          <t>2026-04-07</t>
        </is>
      </c>
      <c r="M176" s="42" t="inlineStr">
        <is>
          <t>2026-04-08</t>
        </is>
      </c>
      <c r="N176" s="42" t="inlineStr">
        <is>
          <t>Nile Production Support</t>
        </is>
      </c>
      <c r="O176" s="42" t="inlineStr">
        <is>
          <t>Unassigned</t>
        </is>
      </c>
      <c r="P176" s="42" t="inlineStr">
        <is>
          <t>Shinde, Vijaykumar</t>
        </is>
      </c>
      <c r="Q176" s="42" t="inlineStr">
        <is>
          <t>Closed</t>
        </is>
      </c>
      <c r="R176" s="43" t="inlineStr">
        <is>
          <t>Per the CSM, this client has terminated this process and the last file sent was 4/3. Nile is not expecting any files going forward and therefore PC will not be sent this file. RE: DAILY: Missing File: HAMP TBA professional File not received (20260404)</t>
        </is>
      </c>
      <c r="S176" s="42" t="inlineStr"/>
      <c r="T176" s="42" t="inlineStr"/>
      <c r="U176" s="42" t="inlineStr"/>
      <c r="V176" s="44" t="inlineStr">
        <is>
          <t>File Missing</t>
        </is>
      </c>
      <c r="W176" s="42" t="inlineStr"/>
    </row>
    <row r="177">
      <c r="A177" s="39" t="inlineStr">
        <is>
          <t>IT-2975651</t>
        </is>
      </c>
      <c r="B177" s="39" t="inlineStr">
        <is>
          <t>IT-2975651</t>
        </is>
      </c>
      <c r="C177" s="39" t="inlineStr"/>
      <c r="D177" s="40" t="inlineStr">
        <is>
          <t>Amerihealth-result: Pipeline Failures with Claim_Detials &amp; Member | Data Date: 2026/04/07</t>
        </is>
      </c>
      <c r="E177" s="40"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40" t="inlineStr">
        <is>
          <t>Both pipelines are completed</t>
        </is>
      </c>
      <c r="H177" s="39" t="inlineStr">
        <is>
          <t>Other</t>
        </is>
      </c>
      <c r="I177" s="39" t="inlineStr">
        <is>
          <t>Other</t>
        </is>
      </c>
      <c r="J177" s="39" t="inlineStr"/>
      <c r="K177" s="39" t="inlineStr">
        <is>
          <t>Closed</t>
        </is>
      </c>
      <c r="L177" s="39" t="inlineStr">
        <is>
          <t>2026-04-07</t>
        </is>
      </c>
      <c r="M177" s="39" t="inlineStr">
        <is>
          <t>2026-04-07</t>
        </is>
      </c>
      <c r="N177" s="39" t="inlineStr">
        <is>
          <t>Nile Production Support</t>
        </is>
      </c>
      <c r="O177" s="39" t="inlineStr">
        <is>
          <t>Unassigned</t>
        </is>
      </c>
      <c r="P177" s="39" t="inlineStr">
        <is>
          <t>Enid Ike</t>
        </is>
      </c>
      <c r="Q177" s="39" t="inlineStr">
        <is>
          <t>Resolved</t>
        </is>
      </c>
      <c r="R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9" t="inlineStr"/>
      <c r="T177" s="39" t="inlineStr"/>
      <c r="U177" s="39" t="inlineStr"/>
      <c r="V177" s="61" t="inlineStr">
        <is>
          <t>Pipeline Schedule</t>
        </is>
      </c>
      <c r="W177" s="39" t="inlineStr"/>
    </row>
    <row r="178">
      <c r="A178" s="42" t="inlineStr">
        <is>
          <t>IT-2975485</t>
        </is>
      </c>
      <c r="B178" s="42" t="inlineStr">
        <is>
          <t>IT-2975485</t>
        </is>
      </c>
      <c r="C178" s="42" t="inlineStr"/>
      <c r="D178" s="43" t="inlineStr">
        <is>
          <t>Please spool down Hew_Members.20261307091356.txt.pgp --need by 4/7/2026</t>
        </is>
      </c>
      <c r="E178" s="43" t="inlineStr">
        <is>
          <t>Please spool down Hew_Members.20261307091356.txt.pgp</t>
        </is>
      </c>
      <c r="F178" s="43" t="inlineStr">
        <is>
          <t>Hi Nekkanti, Alekya File processed by Nile please verify</t>
        </is>
      </c>
      <c r="G178" s="43" t="inlineStr">
        <is>
          <t>File processed</t>
        </is>
      </c>
      <c r="H178" s="42" t="inlineStr">
        <is>
          <t>Other</t>
        </is>
      </c>
      <c r="I178" s="42" t="inlineStr">
        <is>
          <t>Other</t>
        </is>
      </c>
      <c r="J178" s="42" t="inlineStr"/>
      <c r="K178" s="42" t="inlineStr">
        <is>
          <t>Closed</t>
        </is>
      </c>
      <c r="L178" s="42" t="inlineStr">
        <is>
          <t>2026-04-07</t>
        </is>
      </c>
      <c r="M178" s="42" t="inlineStr">
        <is>
          <t>2026-04-07</t>
        </is>
      </c>
      <c r="N178" s="42" t="inlineStr">
        <is>
          <t>Nile Production Support</t>
        </is>
      </c>
      <c r="O178" s="42" t="inlineStr">
        <is>
          <t>Unassigned</t>
        </is>
      </c>
      <c r="P178" s="42" t="inlineStr">
        <is>
          <t>Nekkanti, Alekya</t>
        </is>
      </c>
      <c r="Q178" s="42" t="inlineStr">
        <is>
          <t>Resolved</t>
        </is>
      </c>
      <c r="R178" s="43" t="inlineStr">
        <is>
          <t>Hi Nekkanti, Alekya File processed by Nile please verify</t>
        </is>
      </c>
      <c r="S178" s="42" t="inlineStr"/>
      <c r="T178" s="42" t="inlineStr"/>
      <c r="U178" s="42" t="inlineStr"/>
      <c r="V178" s="57" t="inlineStr">
        <is>
          <t>Spooler issue</t>
        </is>
      </c>
      <c r="W178" s="42" t="inlineStr"/>
    </row>
    <row r="179">
      <c r="A179" s="39" t="inlineStr">
        <is>
          <t>IT-2975470</t>
        </is>
      </c>
      <c r="B179" s="39" t="inlineStr">
        <is>
          <t>IT-2975470</t>
        </is>
      </c>
      <c r="C179" s="39" t="inlineStr"/>
      <c r="D179" s="40" t="inlineStr">
        <is>
          <t>Add new payer to fact line job</t>
        </is>
      </c>
      <c r="E179" s="40" t="inlineStr">
        <is>
          <t>Add new payer to fact line job. T_PAYER_CODE|US_ONLY_10|yyyymmddhh|RECORDS AMHL3|0|2026040609|6</t>
        </is>
      </c>
      <c r="F179" s="40" t="inlineStr">
        <is>
          <t>new payer added. closing this ticket.</t>
        </is>
      </c>
      <c r="G179" s="40" t="inlineStr">
        <is>
          <t>payer added</t>
        </is>
      </c>
      <c r="H179" s="39" t="inlineStr">
        <is>
          <t>Other</t>
        </is>
      </c>
      <c r="I179" s="39" t="inlineStr">
        <is>
          <t>Other</t>
        </is>
      </c>
      <c r="J179" s="39" t="inlineStr"/>
      <c r="K179" s="39" t="inlineStr">
        <is>
          <t>Closed</t>
        </is>
      </c>
      <c r="L179" s="39" t="inlineStr">
        <is>
          <t>2026-04-07</t>
        </is>
      </c>
      <c r="M179" s="39" t="inlineStr">
        <is>
          <t>2026-04-07</t>
        </is>
      </c>
      <c r="N179" s="39" t="inlineStr">
        <is>
          <t>Nile Production Support</t>
        </is>
      </c>
      <c r="O179" s="39" t="inlineStr">
        <is>
          <t>Unassigned</t>
        </is>
      </c>
      <c r="P179" s="39" t="inlineStr">
        <is>
          <t>Birney, Kevin</t>
        </is>
      </c>
      <c r="Q179" s="39" t="inlineStr">
        <is>
          <t>Resolved</t>
        </is>
      </c>
      <c r="R179" s="40" t="inlineStr">
        <is>
          <t>new payer added. closing this ticket.</t>
        </is>
      </c>
      <c r="S179" s="39" t="inlineStr"/>
      <c r="T179" s="39" t="inlineStr"/>
      <c r="U179" s="39" t="inlineStr"/>
      <c r="V179" s="45" t="inlineStr">
        <is>
          <t>Configuration Issue</t>
        </is>
      </c>
      <c r="W179" s="39" t="inlineStr"/>
    </row>
    <row r="180">
      <c r="A180" s="42" t="inlineStr">
        <is>
          <t>IT-2975020</t>
        </is>
      </c>
      <c r="B180" s="42" t="inlineStr">
        <is>
          <t>IT-2975020</t>
        </is>
      </c>
      <c r="C180" s="42" t="inlineStr"/>
      <c r="D180" s="43" t="inlineStr">
        <is>
          <t>Weekly Pipeline rccv-optumcare-facets-TIN_exclusion_file is getting failed for 2026/03/09</t>
        </is>
      </c>
      <c r="E180" s="43" t="inlineStr">
        <is>
          <t>Above pipeline is getting failed in ConvertExcelToCsv [convert-exceltocsv] stage . Please check and suggest the action required.</t>
        </is>
      </c>
      <c r="F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3" t="inlineStr">
        <is>
          <t>created a new pipeline version to accommodate file changing its tab names from List* to Sheet* Also skipped problematic 03/09 file Also chnaged the pipeline cadence from weekly to daily</t>
        </is>
      </c>
      <c r="H180" s="42" t="inlineStr">
        <is>
          <t>Other</t>
        </is>
      </c>
      <c r="I180" s="42" t="inlineStr">
        <is>
          <t>Other</t>
        </is>
      </c>
      <c r="J180" s="42" t="inlineStr"/>
      <c r="K180" s="42" t="inlineStr">
        <is>
          <t>Closed</t>
        </is>
      </c>
      <c r="L180" s="42" t="inlineStr">
        <is>
          <t>2026-04-07</t>
        </is>
      </c>
      <c r="M180" s="42" t="inlineStr">
        <is>
          <t>2026-05-05</t>
        </is>
      </c>
      <c r="N180" s="42" t="inlineStr">
        <is>
          <t>Nile Production Support</t>
        </is>
      </c>
      <c r="O180" s="42" t="inlineStr">
        <is>
          <t>Unassigned</t>
        </is>
      </c>
      <c r="P180" s="42" t="inlineStr">
        <is>
          <t>Kandel, Amik</t>
        </is>
      </c>
      <c r="Q180" s="42" t="inlineStr">
        <is>
          <t>Resolved</t>
        </is>
      </c>
      <c r="R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42" t="inlineStr"/>
      <c r="T180" s="42" t="inlineStr"/>
      <c r="U180" s="42" t="inlineStr"/>
      <c r="V180" s="48" t="inlineStr">
        <is>
          <t>Pipeline Schedule</t>
        </is>
      </c>
      <c r="W180" s="42" t="inlineStr"/>
    </row>
    <row r="181">
      <c r="A181" s="39" t="inlineStr">
        <is>
          <t>IT-2974977</t>
        </is>
      </c>
      <c r="B181" s="39" t="inlineStr">
        <is>
          <t>IT-2974977</t>
        </is>
      </c>
      <c r="C181" s="39" t="inlineStr"/>
      <c r="D181" s="40" t="inlineStr">
        <is>
          <t>Weekly pipeline rca-cigna-proclaim-accent_claims_mem_prov_GDF2_4 is getting failed for data date 2026/04/06</t>
        </is>
      </c>
      <c r="E181" s="40" t="inlineStr">
        <is>
          <t>Above pipeline is getting failed with error message File /dataingestionprod/restricted/122-cigna-proclaim/rawincoming/2022-01-10-75370127/1.13/9232/20260401/1 does not exist. Although all 20 files are available. please investigate and help fix the issue.</t>
        </is>
      </c>
      <c r="F181" s="40" t="inlineStr"/>
      <c r="G181" s="40" t="inlineStr">
        <is>
          <t>Ingestion date 4/5/2026 completed; All we needed to do was just rerun.</t>
        </is>
      </c>
      <c r="H181" s="39" t="inlineStr">
        <is>
          <t>Other</t>
        </is>
      </c>
      <c r="I181" s="39" t="inlineStr">
        <is>
          <t>Other</t>
        </is>
      </c>
      <c r="J181" s="39" t="inlineStr"/>
      <c r="K181" s="39" t="inlineStr">
        <is>
          <t>Closed</t>
        </is>
      </c>
      <c r="L181" s="39" t="inlineStr">
        <is>
          <t>2026-04-07</t>
        </is>
      </c>
      <c r="M181" s="39" t="inlineStr">
        <is>
          <t>2026-04-23</t>
        </is>
      </c>
      <c r="N181" s="39" t="inlineStr">
        <is>
          <t>Nile Production Support</t>
        </is>
      </c>
      <c r="O181" s="39" t="inlineStr">
        <is>
          <t>Unassigned</t>
        </is>
      </c>
      <c r="P181" s="39" t="inlineStr">
        <is>
          <t>Kandel, Amik</t>
        </is>
      </c>
      <c r="Q181" s="39" t="inlineStr">
        <is>
          <t>Resolved</t>
        </is>
      </c>
      <c r="R181" s="40" t="inlineStr"/>
      <c r="S181" s="39" t="inlineStr"/>
      <c r="T181" s="39" t="inlineStr"/>
      <c r="U181" s="39" t="inlineStr"/>
      <c r="V181" s="61" t="inlineStr">
        <is>
          <t>Pipeline Schedule</t>
        </is>
      </c>
      <c r="W181" s="39" t="inlineStr"/>
    </row>
    <row r="182">
      <c r="A182" s="42" t="inlineStr">
        <is>
          <t>IT-2974797</t>
        </is>
      </c>
      <c r="B182" s="42" t="inlineStr">
        <is>
          <t>IT-2974797</t>
        </is>
      </c>
      <c r="C182" s="42" t="inlineStr"/>
      <c r="D182" s="43" t="inlineStr">
        <is>
          <t>Spooler Failure: accentsep-cigna-proclaimpmhs-SP-CIGACV-AccentExport</t>
        </is>
      </c>
      <c r="E182" s="43" t="inlineStr">
        <is>
          <t>The spooler accentsep-cigna-proclaimpmhs-SP-CIGACV-AccentExport got failed. Please investigate and advise.</t>
        </is>
      </c>
      <c r="F182" s="43" t="inlineStr">
        <is>
          <t>Permission issue while spooling the file, Working with MFT team. File spooled and processed successfully.</t>
        </is>
      </c>
      <c r="G182" s="43" t="inlineStr">
        <is>
          <t>File spooled and processed successfully.</t>
        </is>
      </c>
      <c r="H182" s="42" t="inlineStr">
        <is>
          <t>Other</t>
        </is>
      </c>
      <c r="I182" s="42" t="inlineStr">
        <is>
          <t>Other</t>
        </is>
      </c>
      <c r="J182" s="42" t="inlineStr"/>
      <c r="K182" s="42" t="inlineStr">
        <is>
          <t>Closed</t>
        </is>
      </c>
      <c r="L182" s="42" t="inlineStr">
        <is>
          <t>2026-04-07</t>
        </is>
      </c>
      <c r="M182" s="42" t="inlineStr">
        <is>
          <t>2026-04-08</t>
        </is>
      </c>
      <c r="N182" s="42" t="inlineStr">
        <is>
          <t>Nile Production Support</t>
        </is>
      </c>
      <c r="O182" s="42" t="inlineStr">
        <is>
          <t>Unassigned</t>
        </is>
      </c>
      <c r="P182" s="42" t="inlineStr">
        <is>
          <t>Bhattarai, Krishna</t>
        </is>
      </c>
      <c r="Q182" s="42" t="inlineStr">
        <is>
          <t>Resolved</t>
        </is>
      </c>
      <c r="R182" s="43" t="inlineStr">
        <is>
          <t>Permission issue while spooling the file, Working with MFT team. File spooled and processed successfully.</t>
        </is>
      </c>
      <c r="S182" s="42" t="inlineStr"/>
      <c r="T182" s="42" t="inlineStr"/>
      <c r="U182" s="42" t="inlineStr"/>
      <c r="V182" s="57" t="inlineStr">
        <is>
          <t>Spooler issue</t>
        </is>
      </c>
      <c r="W182" s="42" t="inlineStr"/>
    </row>
    <row r="183">
      <c r="A183" s="39" t="inlineStr">
        <is>
          <t>IT-2974351</t>
        </is>
      </c>
      <c r="B183" s="39" t="inlineStr">
        <is>
          <t>IT-2974351</t>
        </is>
      </c>
      <c r="C183" s="39" t="inlineStr"/>
      <c r="D183" s="40" t="inlineStr">
        <is>
          <t>rca-cigna-facets-accent_claims_mem_prov_GDF2_4 Pipeline Got Failed.</t>
        </is>
      </c>
      <c r="E183" s="40" t="inlineStr">
        <is>
          <t>rca-cigna-facets-accent_claims_mem_prov_GDF2_4 Pipeline Got Failed. Failed stage: Looper-create_standard_impala_tables [looper]</t>
        </is>
      </c>
      <c r="F183" s="40" t="inlineStr">
        <is>
          <t>Pipeline processed successfully.</t>
        </is>
      </c>
      <c r="G183" s="40" t="inlineStr">
        <is>
          <t>Pipeline processed successfully.</t>
        </is>
      </c>
      <c r="H183" s="39" t="inlineStr">
        <is>
          <t>Other</t>
        </is>
      </c>
      <c r="I183" s="39" t="inlineStr">
        <is>
          <t>Other</t>
        </is>
      </c>
      <c r="J183" s="39" t="inlineStr"/>
      <c r="K183" s="39" t="inlineStr">
        <is>
          <t>Closed</t>
        </is>
      </c>
      <c r="L183" s="39" t="inlineStr">
        <is>
          <t>2026-04-06</t>
        </is>
      </c>
      <c r="M183" s="39" t="inlineStr">
        <is>
          <t>2026-04-07</t>
        </is>
      </c>
      <c r="N183" s="39" t="inlineStr">
        <is>
          <t>Nile Production Support</t>
        </is>
      </c>
      <c r="O183" s="39" t="inlineStr">
        <is>
          <t>Unassigned</t>
        </is>
      </c>
      <c r="P183" s="39" t="inlineStr">
        <is>
          <t>Aryal, Neerajan</t>
        </is>
      </c>
      <c r="Q183" s="39" t="inlineStr">
        <is>
          <t>Resolved</t>
        </is>
      </c>
      <c r="R183" s="40" t="inlineStr">
        <is>
          <t>Pipeline processed successfully.</t>
        </is>
      </c>
      <c r="S183" s="39" t="inlineStr"/>
      <c r="T183" s="39" t="inlineStr"/>
      <c r="U183" s="39" t="inlineStr"/>
      <c r="V183" s="61" t="inlineStr">
        <is>
          <t>Pipeline Schedule</t>
        </is>
      </c>
      <c r="W183" s="39" t="inlineStr"/>
    </row>
    <row r="184">
      <c r="A184" s="42" t="inlineStr">
        <is>
          <t>IT-2974321</t>
        </is>
      </c>
      <c r="B184" s="42" t="inlineStr">
        <is>
          <t>IT-2974321</t>
        </is>
      </c>
      <c r="C184" s="42" t="inlineStr"/>
      <c r="D184" s="43" t="inlineStr">
        <is>
          <t>Unmatched gdf_institutional_claims raw data count - 20260406_1 - prod - bcbssc-pbm-pharmacy_claims_custom_GDF2_5</t>
        </is>
      </c>
      <c r="E184" s="43" t="inlineStr">
        <is>
          <t>bcbssc-pbm-pharmacy_claims_custom_GDF2_5 Pipeline got failed due to Unmatched Raw Data Count. Mail Sub: Unmatched gdf_institutional_claims raw data count - 20260406_1 - prod - bcbssc-pbm-pharmacy_claims_custom_GDF2_5</t>
        </is>
      </c>
      <c r="F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3" t="inlineStr">
        <is>
          <t>Pipeline completed after overwrite parameter.</t>
        </is>
      </c>
      <c r="H184" s="42" t="inlineStr">
        <is>
          <t>Other</t>
        </is>
      </c>
      <c r="I184" s="42" t="inlineStr">
        <is>
          <t>Other</t>
        </is>
      </c>
      <c r="J184" s="42" t="inlineStr"/>
      <c r="K184" s="42" t="inlineStr">
        <is>
          <t>Closed</t>
        </is>
      </c>
      <c r="L184" s="42" t="inlineStr">
        <is>
          <t>2026-04-06</t>
        </is>
      </c>
      <c r="M184" s="42" t="inlineStr">
        <is>
          <t>2026-05-06</t>
        </is>
      </c>
      <c r="N184" s="42" t="inlineStr">
        <is>
          <t>Nile Production Support</t>
        </is>
      </c>
      <c r="O184" s="42" t="inlineStr">
        <is>
          <t>Unassigned</t>
        </is>
      </c>
      <c r="P184" s="42" t="inlineStr">
        <is>
          <t>Aryal, Neerajan</t>
        </is>
      </c>
      <c r="Q184" s="42" t="inlineStr">
        <is>
          <t>Resolved</t>
        </is>
      </c>
      <c r="R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42" t="inlineStr"/>
      <c r="T184" s="42" t="inlineStr"/>
      <c r="U184" s="42" t="inlineStr"/>
      <c r="V184" s="63" t="inlineStr">
        <is>
          <t>Unmatched raw data count</t>
        </is>
      </c>
      <c r="W184" s="42" t="inlineStr"/>
    </row>
    <row r="185">
      <c r="A185" s="39" t="inlineStr">
        <is>
          <t>IT-2974191</t>
        </is>
      </c>
      <c r="B185" s="39" t="inlineStr">
        <is>
          <t>IT-2974191</t>
        </is>
      </c>
      <c r="C185" s="39" t="inlineStr"/>
      <c r="D185" s="40" t="inlineStr">
        <is>
          <t>BCBSND-OSCAR: fwa-BCBSND-OSCAR_member_GDF2_3 (ingestion date 3/11)</t>
        </is>
      </c>
      <c r="E185" s="40"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40" t="inlineStr">
        <is>
          <t>Created a new version fwa-BCBSND-OSCAR_member_GDF2_3 1.1</t>
        </is>
      </c>
      <c r="G185" s="40" t="inlineStr">
        <is>
          <t>fixed and ingested files for 2026/03/11 need to schedule pipeline</t>
        </is>
      </c>
      <c r="H185" s="39" t="inlineStr">
        <is>
          <t>Other</t>
        </is>
      </c>
      <c r="I185" s="39" t="inlineStr">
        <is>
          <t>Other</t>
        </is>
      </c>
      <c r="J185" s="39" t="inlineStr"/>
      <c r="K185" s="39" t="inlineStr">
        <is>
          <t>Closed</t>
        </is>
      </c>
      <c r="L185" s="39" t="inlineStr">
        <is>
          <t>2026-04-06</t>
        </is>
      </c>
      <c r="M185" s="39" t="inlineStr">
        <is>
          <t>2026-04-08</t>
        </is>
      </c>
      <c r="N185" s="39" t="inlineStr">
        <is>
          <t>Nile Production Support</t>
        </is>
      </c>
      <c r="O185" s="39" t="inlineStr">
        <is>
          <t>Unassigned</t>
        </is>
      </c>
      <c r="P185" s="39" t="inlineStr">
        <is>
          <t>Enid Ike</t>
        </is>
      </c>
      <c r="Q185" s="39" t="inlineStr">
        <is>
          <t>Resolved</t>
        </is>
      </c>
      <c r="R185" s="40" t="inlineStr">
        <is>
          <t>Created a new version fwa-BCBSND-OSCAR_member_GDF2_3 1.1</t>
        </is>
      </c>
      <c r="S185" s="39" t="inlineStr"/>
      <c r="T185" s="39" t="inlineStr"/>
      <c r="U185" s="39" t="inlineStr"/>
      <c r="V185" s="51" t="inlineStr">
        <is>
          <t>Other</t>
        </is>
      </c>
      <c r="W185" s="39" t="inlineStr">
        <is>
          <t>Yes</t>
        </is>
      </c>
    </row>
    <row r="186">
      <c r="A186" s="42" t="inlineStr">
        <is>
          <t>IT-2973897</t>
        </is>
      </c>
      <c r="B186" s="42" t="inlineStr">
        <is>
          <t>IT-2973897</t>
        </is>
      </c>
      <c r="C186" s="42" t="inlineStr"/>
      <c r="D186" s="43" t="inlineStr">
        <is>
          <t>CCV CAT Excellus Primary Diagnosis Code Data</t>
        </is>
      </c>
      <c r="E186" s="43"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3" t="inlineStr">
        <is>
          <t>Shared raw, gdf and cdf details for the sample claims Thanks Satish Devatha</t>
        </is>
      </c>
      <c r="G186" s="43" t="inlineStr">
        <is>
          <t>Shared Details</t>
        </is>
      </c>
      <c r="H186" s="42" t="inlineStr">
        <is>
          <t>Other</t>
        </is>
      </c>
      <c r="I186" s="42" t="inlineStr">
        <is>
          <t>Other</t>
        </is>
      </c>
      <c r="J186" s="42" t="inlineStr"/>
      <c r="K186" s="42" t="inlineStr">
        <is>
          <t>Closed</t>
        </is>
      </c>
      <c r="L186" s="42" t="inlineStr">
        <is>
          <t>2026-04-06</t>
        </is>
      </c>
      <c r="M186" s="42" t="inlineStr">
        <is>
          <t>2026-04-29</t>
        </is>
      </c>
      <c r="N186" s="42" t="inlineStr">
        <is>
          <t>Nile Production Support</t>
        </is>
      </c>
      <c r="O186" s="42" t="inlineStr">
        <is>
          <t>Unassigned</t>
        </is>
      </c>
      <c r="P186" s="42" t="inlineStr">
        <is>
          <t>Arevalo, Anna</t>
        </is>
      </c>
      <c r="Q186" s="42" t="inlineStr">
        <is>
          <t>Resolved</t>
        </is>
      </c>
      <c r="R186" s="43" t="inlineStr">
        <is>
          <t>Shared raw, gdf and cdf details for the sample claims Thanks Satish Devatha</t>
        </is>
      </c>
      <c r="S186" s="42" t="inlineStr"/>
      <c r="T186" s="42" t="inlineStr"/>
      <c r="U186" s="42" t="inlineStr"/>
      <c r="V186" s="54" t="inlineStr">
        <is>
          <t>Configuration Issue</t>
        </is>
      </c>
      <c r="W186" s="42" t="inlineStr"/>
    </row>
    <row r="187">
      <c r="A187" s="39" t="inlineStr">
        <is>
          <t>IT-2973653</t>
        </is>
      </c>
      <c r="B187" s="39" t="inlineStr">
        <is>
          <t>IT-2973653</t>
        </is>
      </c>
      <c r="C187" s="39" t="inlineStr"/>
      <c r="D187" s="40" t="inlineStr">
        <is>
          <t>DM and RCOB Layouts for Independence Blue Cross</t>
        </is>
      </c>
      <c r="E187" s="40" t="inlineStr">
        <is>
          <t>Hello, we need to conduct an OA analysis for Independence Blue Cross. We would like to use the DM and RCOB layout to get started. Will you please send these files to us?</t>
        </is>
      </c>
      <c r="F187" s="40" t="inlineStr">
        <is>
          <t>Hi Smith, Emily Shared the schema layouts Thanks Satish Devatha</t>
        </is>
      </c>
      <c r="G187" s="40" t="inlineStr">
        <is>
          <t>Shared the schema layouts</t>
        </is>
      </c>
      <c r="H187" s="39" t="inlineStr">
        <is>
          <t>Other</t>
        </is>
      </c>
      <c r="I187" s="39" t="inlineStr">
        <is>
          <t>Other</t>
        </is>
      </c>
      <c r="J187" s="39" t="inlineStr"/>
      <c r="K187" s="39" t="inlineStr">
        <is>
          <t>Closed</t>
        </is>
      </c>
      <c r="L187" s="39" t="inlineStr">
        <is>
          <t>2026-04-06</t>
        </is>
      </c>
      <c r="M187" s="39" t="inlineStr">
        <is>
          <t>2026-04-07</t>
        </is>
      </c>
      <c r="N187" s="39" t="inlineStr">
        <is>
          <t>Nile Production Support</t>
        </is>
      </c>
      <c r="O187" s="39" t="inlineStr">
        <is>
          <t>Unassigned</t>
        </is>
      </c>
      <c r="P187" s="39" t="inlineStr">
        <is>
          <t>Smith, Emily</t>
        </is>
      </c>
      <c r="Q187" s="39" t="inlineStr">
        <is>
          <t>Resolved</t>
        </is>
      </c>
      <c r="R187" s="40" t="inlineStr">
        <is>
          <t>Hi Smith, Emily Shared the schema layouts Thanks Satish Devatha</t>
        </is>
      </c>
      <c r="S187" s="39" t="inlineStr"/>
      <c r="T187" s="39" t="inlineStr"/>
      <c r="U187" s="39" t="inlineStr"/>
      <c r="V187" s="51" t="inlineStr">
        <is>
          <t>Other</t>
        </is>
      </c>
      <c r="W187" s="39" t="inlineStr">
        <is>
          <t>Yes</t>
        </is>
      </c>
    </row>
    <row r="188">
      <c r="A188" s="42" t="inlineStr">
        <is>
          <t>IT-2973505</t>
        </is>
      </c>
      <c r="B188" s="42" t="inlineStr">
        <is>
          <t>IT-2973505</t>
        </is>
      </c>
      <c r="C188" s="42" t="inlineStr"/>
      <c r="D188" s="43" t="inlineStr">
        <is>
          <t>Centene sFTP password needs to be changed</t>
        </is>
      </c>
      <c r="E188" s="43" t="inlineStr">
        <is>
          <t>all jobs need to be stopped while we create new password, and then they will need to be updated with the corrected password</t>
        </is>
      </c>
      <c r="F188" s="43" t="inlineStr">
        <is>
          <t>All our automated spooler that fetched data directly to centene.sftp.com are now suspended. From the Axway side, Bhargavi already disabled them since last Friday, 4/3. Thanks melly</t>
        </is>
      </c>
      <c r="G188" s="43" t="inlineStr">
        <is>
          <t>All auto jobs are suspended.</t>
        </is>
      </c>
      <c r="H188" s="42" t="inlineStr"/>
      <c r="I188" s="42" t="inlineStr"/>
      <c r="J188" s="42" t="inlineStr"/>
      <c r="K188" s="42" t="inlineStr">
        <is>
          <t>Closed</t>
        </is>
      </c>
      <c r="L188" s="42" t="inlineStr">
        <is>
          <t>2026-04-06</t>
        </is>
      </c>
      <c r="M188" s="42" t="inlineStr">
        <is>
          <t>2026-04-08</t>
        </is>
      </c>
      <c r="N188" s="42" t="inlineStr">
        <is>
          <t>Nile Production Support</t>
        </is>
      </c>
      <c r="O188" s="42" t="inlineStr">
        <is>
          <t>Unassigned</t>
        </is>
      </c>
      <c r="P188" s="42" t="inlineStr">
        <is>
          <t>Brittany Johnson</t>
        </is>
      </c>
      <c r="Q188" s="42" t="inlineStr">
        <is>
          <t>Closed</t>
        </is>
      </c>
      <c r="R188" s="43" t="inlineStr">
        <is>
          <t>All our automated spooler that fetched data directly to centene.sftp.com are now suspended. From the Axway side, Bhargavi already disabled them since last Friday, 4/3. Thanks melly</t>
        </is>
      </c>
      <c r="S188" s="42" t="inlineStr"/>
      <c r="T188" s="42" t="inlineStr"/>
      <c r="U188" s="42" t="inlineStr"/>
      <c r="V188" s="54" t="inlineStr">
        <is>
          <t>Configuration Issue</t>
        </is>
      </c>
      <c r="W188" s="42" t="inlineStr"/>
    </row>
    <row r="189">
      <c r="A189" s="39" t="inlineStr">
        <is>
          <t>IT-2973159</t>
        </is>
      </c>
      <c r="B189" s="39" t="inlineStr">
        <is>
          <t>IT-2973159</t>
        </is>
      </c>
      <c r="C189" s="39" t="inlineStr"/>
      <c r="D189" s="40" t="inlineStr">
        <is>
          <t>FWAM - BCBS North Dakota CDF File Record Counts Low for 2/26 Run.</t>
        </is>
      </c>
      <c r="E189" s="40"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40" t="inlineStr">
        <is>
          <t>Ran all Fb and March loads. fixing and investigating all member discards</t>
        </is>
      </c>
      <c r="H189" s="39" t="inlineStr">
        <is>
          <t>Other</t>
        </is>
      </c>
      <c r="I189" s="39" t="inlineStr">
        <is>
          <t>Other</t>
        </is>
      </c>
      <c r="J189" s="39" t="inlineStr"/>
      <c r="K189" s="39" t="inlineStr">
        <is>
          <t>Closed</t>
        </is>
      </c>
      <c r="L189" s="39" t="inlineStr">
        <is>
          <t>2026-04-06</t>
        </is>
      </c>
      <c r="M189" s="39" t="inlineStr">
        <is>
          <t>2026-04-11</t>
        </is>
      </c>
      <c r="N189" s="39" t="inlineStr">
        <is>
          <t>Nile Production Support</t>
        </is>
      </c>
      <c r="O189" s="39" t="inlineStr">
        <is>
          <t>Unassigned</t>
        </is>
      </c>
      <c r="P189" s="39" t="inlineStr">
        <is>
          <t>Crum, David</t>
        </is>
      </c>
      <c r="Q189" s="39" t="inlineStr">
        <is>
          <t>Resolved</t>
        </is>
      </c>
      <c r="R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9" t="inlineStr"/>
      <c r="T189" s="39" t="inlineStr"/>
      <c r="U189" s="39" t="inlineStr"/>
      <c r="V189" s="65" t="inlineStr">
        <is>
          <t>Metric drop</t>
        </is>
      </c>
      <c r="W189" s="39" t="inlineStr"/>
    </row>
    <row r="190">
      <c r="A190" s="42" t="inlineStr">
        <is>
          <t>IT-2973088</t>
        </is>
      </c>
      <c r="B190" s="42" t="inlineStr">
        <is>
          <t>IT-2973088</t>
        </is>
      </c>
      <c r="C190" s="42" t="inlineStr"/>
      <c r="D190" s="43" t="inlineStr">
        <is>
          <t>Copy files From Nile Prod Raw path to Nile QC Raw path - Aetna Trad</t>
        </is>
      </c>
      <c r="E190" s="43"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3" t="inlineStr">
        <is>
          <t>Hi Shivalingu, Naveen Files are copied please verify</t>
        </is>
      </c>
      <c r="G190" s="43" t="inlineStr">
        <is>
          <t>Files Copied</t>
        </is>
      </c>
      <c r="H190" s="42" t="inlineStr">
        <is>
          <t>Other</t>
        </is>
      </c>
      <c r="I190" s="42" t="inlineStr">
        <is>
          <t>Other</t>
        </is>
      </c>
      <c r="J190" s="42" t="inlineStr"/>
      <c r="K190" s="42" t="inlineStr">
        <is>
          <t>Closed</t>
        </is>
      </c>
      <c r="L190" s="42" t="inlineStr">
        <is>
          <t>2026-04-06</t>
        </is>
      </c>
      <c r="M190" s="42" t="inlineStr">
        <is>
          <t>2026-04-06</t>
        </is>
      </c>
      <c r="N190" s="42" t="inlineStr">
        <is>
          <t>Nile Production Support</t>
        </is>
      </c>
      <c r="O190" s="42" t="inlineStr">
        <is>
          <t>Unassigned</t>
        </is>
      </c>
      <c r="P190" s="42" t="inlineStr">
        <is>
          <t>Shivalingu, Naveen</t>
        </is>
      </c>
      <c r="Q190" s="42" t="inlineStr">
        <is>
          <t>Resolved</t>
        </is>
      </c>
      <c r="R190" s="43" t="inlineStr">
        <is>
          <t>Hi Shivalingu, Naveen Files are copied please verify</t>
        </is>
      </c>
      <c r="S190" s="42" t="inlineStr"/>
      <c r="T190" s="42" t="inlineStr"/>
      <c r="U190" s="42" t="inlineStr"/>
      <c r="V190" s="50" t="inlineStr">
        <is>
          <t>Other</t>
        </is>
      </c>
      <c r="W190" s="42" t="inlineStr">
        <is>
          <t>Yes</t>
        </is>
      </c>
    </row>
    <row r="191">
      <c r="A191" s="39" t="inlineStr">
        <is>
          <t>IT-2973049</t>
        </is>
      </c>
      <c r="B191" s="39" t="inlineStr">
        <is>
          <t>IT-2973049</t>
        </is>
      </c>
      <c r="C191" s="39" t="inlineStr"/>
      <c r="D191" s="40" t="inlineStr">
        <is>
          <t>Pipeline: dm-centene-centene-actian_migration_claims_icd10 | Unmatched | Failed | Zero Ingested row count</t>
        </is>
      </c>
      <c r="E191" s="40"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40" t="inlineStr">
        <is>
          <t>found out that there is a new column causing issues. We need to update the schema, UD mapping and validation Also worked with EDM to make sure SQL table is updated</t>
        </is>
      </c>
      <c r="H191" s="39" t="inlineStr">
        <is>
          <t>Other</t>
        </is>
      </c>
      <c r="I191" s="39" t="inlineStr">
        <is>
          <t>Other</t>
        </is>
      </c>
      <c r="J191" s="39" t="inlineStr"/>
      <c r="K191" s="39" t="inlineStr">
        <is>
          <t>Closed</t>
        </is>
      </c>
      <c r="L191" s="39" t="inlineStr">
        <is>
          <t>2026-04-06</t>
        </is>
      </c>
      <c r="M191" s="39" t="inlineStr">
        <is>
          <t>2026-04-08</t>
        </is>
      </c>
      <c r="N191" s="39" t="inlineStr">
        <is>
          <t>Nile Production Support</t>
        </is>
      </c>
      <c r="O191" s="39" t="inlineStr">
        <is>
          <t>Unassigned</t>
        </is>
      </c>
      <c r="P191" s="39" t="inlineStr">
        <is>
          <t>Enid Ike</t>
        </is>
      </c>
      <c r="Q191" s="39" t="inlineStr">
        <is>
          <t>Resolved</t>
        </is>
      </c>
      <c r="R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9" t="inlineStr"/>
      <c r="T191" s="39" t="inlineStr"/>
      <c r="U191" s="39" t="inlineStr"/>
      <c r="V191" s="65" t="inlineStr">
        <is>
          <t>Metric drop</t>
        </is>
      </c>
      <c r="W191" s="39" t="inlineStr"/>
    </row>
    <row r="192">
      <c r="A192" s="42" t="inlineStr">
        <is>
          <t>IT-2972974</t>
        </is>
      </c>
      <c r="B192" s="42" t="inlineStr">
        <is>
          <t>IT-2972974</t>
        </is>
      </c>
      <c r="C192" s="42" t="inlineStr"/>
      <c r="D192" s="43" t="inlineStr">
        <is>
          <t>Wellcare PBM trigger file permission issue for new platform process.</t>
        </is>
      </c>
      <c r="E192" s="43"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3" t="inlineStr"/>
      <c r="H192" s="42" t="inlineStr"/>
      <c r="I192" s="42" t="inlineStr"/>
      <c r="J192" s="42" t="inlineStr"/>
      <c r="K192" s="42" t="inlineStr">
        <is>
          <t>Cancelled</t>
        </is>
      </c>
      <c r="L192" s="42" t="inlineStr">
        <is>
          <t>2026-04-06</t>
        </is>
      </c>
      <c r="M192" s="42" t="inlineStr">
        <is>
          <t>2026-04-06</t>
        </is>
      </c>
      <c r="N192" s="42" t="inlineStr">
        <is>
          <t>Nile Production Support</t>
        </is>
      </c>
      <c r="O192" s="42" t="inlineStr">
        <is>
          <t>Unassigned</t>
        </is>
      </c>
      <c r="P192" s="42" t="inlineStr">
        <is>
          <t>Trivedi Shukla, Zarna</t>
        </is>
      </c>
      <c r="Q192" s="42" t="inlineStr">
        <is>
          <t>Cancelled</t>
        </is>
      </c>
      <c r="R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42" t="inlineStr"/>
      <c r="T192" s="42" t="inlineStr"/>
      <c r="U192" s="42" t="inlineStr"/>
      <c r="V192" s="58" t="inlineStr">
        <is>
          <t>Issue Platform</t>
        </is>
      </c>
      <c r="W192" s="42" t="inlineStr"/>
    </row>
    <row r="193">
      <c r="A193" s="39" t="inlineStr">
        <is>
          <t>IT-2972495</t>
        </is>
      </c>
      <c r="B193" s="39" t="inlineStr">
        <is>
          <t>IT-2972495</t>
        </is>
      </c>
      <c r="C193" s="39" t="inlineStr"/>
      <c r="D193" s="40" t="inlineStr">
        <is>
          <t>Spooler centene-centene-claims-provider-actian-test is getting failed</t>
        </is>
      </c>
      <c r="E193" s="40"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40" t="inlineStr">
        <is>
          <t>sftp.centene,com is locked because of the password refresh checkign if account is still locked</t>
        </is>
      </c>
      <c r="G193" s="40" t="inlineStr">
        <is>
          <t>edited the spooler to connct with sftp.centne.com</t>
        </is>
      </c>
      <c r="H193" s="39" t="inlineStr">
        <is>
          <t>Other</t>
        </is>
      </c>
      <c r="I193" s="39" t="inlineStr">
        <is>
          <t>Other</t>
        </is>
      </c>
      <c r="J193" s="39" t="inlineStr"/>
      <c r="K193" s="39" t="inlineStr">
        <is>
          <t>Closed</t>
        </is>
      </c>
      <c r="L193" s="39" t="inlineStr">
        <is>
          <t>2026-04-06</t>
        </is>
      </c>
      <c r="M193" s="39" t="inlineStr">
        <is>
          <t>2026-04-22</t>
        </is>
      </c>
      <c r="N193" s="39" t="inlineStr">
        <is>
          <t>Nile Production Support</t>
        </is>
      </c>
      <c r="O193" s="39" t="inlineStr">
        <is>
          <t>Unassigned</t>
        </is>
      </c>
      <c r="P193" s="39" t="inlineStr">
        <is>
          <t>Kandel, Amik</t>
        </is>
      </c>
      <c r="Q193" s="39" t="inlineStr">
        <is>
          <t>Resolved</t>
        </is>
      </c>
      <c r="R193" s="40" t="inlineStr">
        <is>
          <t>sftp.centene,com is locked because of the password refresh checkign if account is still locked</t>
        </is>
      </c>
      <c r="S193" s="39" t="inlineStr"/>
      <c r="T193" s="39" t="inlineStr"/>
      <c r="U193" s="39" t="inlineStr"/>
      <c r="V193" s="61" t="inlineStr">
        <is>
          <t>Pipeline Schedule</t>
        </is>
      </c>
      <c r="W193" s="39" t="inlineStr"/>
    </row>
    <row r="194">
      <c r="A194" s="42" t="inlineStr">
        <is>
          <t>IT-2972466</t>
        </is>
      </c>
      <c r="B194" s="42" t="inlineStr">
        <is>
          <t>IT-2972466</t>
        </is>
      </c>
      <c r="C194" s="42" t="inlineStr"/>
      <c r="D194" s="43" t="inlineStr">
        <is>
          <t>Spooler bcbsnjhorizon_facets_no_touch is not spooling files</t>
        </is>
      </c>
      <c r="E194" s="43"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3" t="inlineStr">
        <is>
          <t>All missing files are spooled</t>
        </is>
      </c>
      <c r="G194" s="43" t="inlineStr">
        <is>
          <t>All missing files are spooled</t>
        </is>
      </c>
      <c r="H194" s="42" t="inlineStr">
        <is>
          <t>Other</t>
        </is>
      </c>
      <c r="I194" s="42" t="inlineStr">
        <is>
          <t>Other</t>
        </is>
      </c>
      <c r="J194" s="42" t="inlineStr"/>
      <c r="K194" s="42" t="inlineStr">
        <is>
          <t>Closed</t>
        </is>
      </c>
      <c r="L194" s="42" t="inlineStr">
        <is>
          <t>2026-04-06</t>
        </is>
      </c>
      <c r="M194" s="42" t="inlineStr">
        <is>
          <t>2026-04-06</t>
        </is>
      </c>
      <c r="N194" s="42" t="inlineStr">
        <is>
          <t>Nile Production Support</t>
        </is>
      </c>
      <c r="O194" s="42" t="inlineStr">
        <is>
          <t>Unassigned</t>
        </is>
      </c>
      <c r="P194" s="42" t="inlineStr">
        <is>
          <t>Kandel, Amik</t>
        </is>
      </c>
      <c r="Q194" s="42" t="inlineStr">
        <is>
          <t>Resolved</t>
        </is>
      </c>
      <c r="R194" s="43" t="inlineStr">
        <is>
          <t>All missing files are spooled</t>
        </is>
      </c>
      <c r="S194" s="42" t="inlineStr"/>
      <c r="T194" s="42" t="inlineStr"/>
      <c r="U194" s="42" t="inlineStr"/>
      <c r="V194" s="57" t="inlineStr">
        <is>
          <t>Spooler issue</t>
        </is>
      </c>
      <c r="W194" s="42" t="inlineStr"/>
    </row>
    <row r="195">
      <c r="A195" s="39" t="inlineStr">
        <is>
          <t>IT-2972304</t>
        </is>
      </c>
      <c r="B195" s="39" t="inlineStr">
        <is>
          <t>IT-2972304</t>
        </is>
      </c>
      <c r="C195" s="39" t="inlineStr"/>
      <c r="D195" s="40" t="inlineStr">
        <is>
          <t>Centene ABS OLA Configurations</t>
        </is>
      </c>
      <c r="E195" s="40" t="inlineStr">
        <is>
          <t>Centene ABS OLA Configurations</t>
        </is>
      </c>
      <c r="F195" s="40" t="inlineStr">
        <is>
          <t>To Monitor the next executions tomorrow.</t>
        </is>
      </c>
      <c r="G195" s="40" t="inlineStr">
        <is>
          <t>Working as expected.</t>
        </is>
      </c>
      <c r="H195" s="39" t="inlineStr">
        <is>
          <t>Other</t>
        </is>
      </c>
      <c r="I195" s="39" t="inlineStr">
        <is>
          <t>Other</t>
        </is>
      </c>
      <c r="J195" s="39" t="inlineStr"/>
      <c r="K195" s="39" t="inlineStr">
        <is>
          <t>Closed</t>
        </is>
      </c>
      <c r="L195" s="39" t="inlineStr">
        <is>
          <t>2026-04-06</t>
        </is>
      </c>
      <c r="M195" s="39" t="inlineStr">
        <is>
          <t>2026-04-16</t>
        </is>
      </c>
      <c r="N195" s="39" t="inlineStr">
        <is>
          <t>Nile Production Support</t>
        </is>
      </c>
      <c r="O195" s="39" t="inlineStr">
        <is>
          <t>Unassigned</t>
        </is>
      </c>
      <c r="P195" s="39" t="inlineStr">
        <is>
          <t>Jani, Shaik</t>
        </is>
      </c>
      <c r="Q195" s="39" t="inlineStr">
        <is>
          <t>Resolved</t>
        </is>
      </c>
      <c r="R195" s="40" t="inlineStr">
        <is>
          <t>To Monitor the next executions tomorrow.</t>
        </is>
      </c>
      <c r="S195" s="39" t="inlineStr"/>
      <c r="T195" s="39" t="inlineStr"/>
      <c r="U195" s="39" t="inlineStr"/>
      <c r="V195" s="45" t="inlineStr">
        <is>
          <t>Configuration Issue</t>
        </is>
      </c>
      <c r="W195" s="39" t="inlineStr"/>
    </row>
    <row r="196">
      <c r="A196" s="42" t="inlineStr">
        <is>
          <t>IT-2972291</t>
        </is>
      </c>
      <c r="B196" s="42" t="inlineStr">
        <is>
          <t>IT-2972291</t>
        </is>
      </c>
      <c r="C196" s="42" t="inlineStr"/>
      <c r="D196" s="43" t="inlineStr">
        <is>
          <t>Aetna HRP OLA Configuration</t>
        </is>
      </c>
      <c r="E196" s="43" t="inlineStr">
        <is>
          <t>Aetna HRP OLA Configuration</t>
        </is>
      </c>
      <c r="F196" s="43" t="inlineStr">
        <is>
          <t>Will wait for the changes to reflect in tomorrow monitoring.</t>
        </is>
      </c>
      <c r="G196" s="43" t="inlineStr">
        <is>
          <t>Configured the OLA as per the new feature.</t>
        </is>
      </c>
      <c r="H196" s="42" t="inlineStr">
        <is>
          <t>Other</t>
        </is>
      </c>
      <c r="I196" s="42" t="inlineStr">
        <is>
          <t>Other</t>
        </is>
      </c>
      <c r="J196" s="42" t="inlineStr"/>
      <c r="K196" s="42" t="inlineStr">
        <is>
          <t>Closed</t>
        </is>
      </c>
      <c r="L196" s="42" t="inlineStr">
        <is>
          <t>2026-04-06</t>
        </is>
      </c>
      <c r="M196" s="42" t="inlineStr">
        <is>
          <t>2026-05-04</t>
        </is>
      </c>
      <c r="N196" s="42" t="inlineStr">
        <is>
          <t>Nile Production Support</t>
        </is>
      </c>
      <c r="O196" s="42" t="inlineStr">
        <is>
          <t>Unassigned</t>
        </is>
      </c>
      <c r="P196" s="42" t="inlineStr">
        <is>
          <t>Jani, Shaik</t>
        </is>
      </c>
      <c r="Q196" s="42" t="inlineStr">
        <is>
          <t>Resolved</t>
        </is>
      </c>
      <c r="R196" s="43" t="inlineStr">
        <is>
          <t>Will wait for the changes to reflect in tomorrow monitoring.</t>
        </is>
      </c>
      <c r="S196" s="42" t="inlineStr"/>
      <c r="T196" s="42" t="inlineStr"/>
      <c r="U196" s="42" t="inlineStr"/>
      <c r="V196" s="54" t="inlineStr">
        <is>
          <t>Configuration Issue</t>
        </is>
      </c>
      <c r="W196" s="42" t="inlineStr"/>
    </row>
    <row r="197">
      <c r="A197" s="39" t="inlineStr">
        <is>
          <t>IT-2972270</t>
        </is>
      </c>
      <c r="B197" s="39" t="inlineStr">
        <is>
          <t>IT-2972270</t>
        </is>
      </c>
      <c r="C197" s="39" t="inlineStr"/>
      <c r="D197" s="40" t="inlineStr">
        <is>
          <t>Unmatched gdf_professional_claims raw data count - 20260405_1 - prod - ppm-premera-bluecross-history_professional_claims_GDF2_2_CDF2_2_Slim_Refactoring</t>
        </is>
      </c>
      <c r="E197" s="40" t="inlineStr">
        <is>
          <t>Pipeline: ppm-premera-bluecross-history_professional_claims_GDF2_2_CDF2_2_Slim_Refactoring Email ref: Unmatched gdf_professional_claims raw data count - 20260405_1 - prod - ppm-premera-bluecross-history_professional_claims_GDF2_2_CDF2_2_Slim_Refactoring</t>
        </is>
      </c>
      <c r="F197" s="40" t="inlineStr">
        <is>
          <t>There is already another ticket created for this issue.</t>
        </is>
      </c>
      <c r="G197" s="40" t="inlineStr"/>
      <c r="H197" s="39" t="inlineStr">
        <is>
          <t>Other</t>
        </is>
      </c>
      <c r="I197" s="39" t="inlineStr">
        <is>
          <t>Other</t>
        </is>
      </c>
      <c r="J197" s="39" t="inlineStr"/>
      <c r="K197" s="39" t="inlineStr">
        <is>
          <t>Cancelled</t>
        </is>
      </c>
      <c r="L197" s="39" t="inlineStr">
        <is>
          <t>2026-04-06</t>
        </is>
      </c>
      <c r="M197" s="39" t="inlineStr">
        <is>
          <t>2026-04-06</t>
        </is>
      </c>
      <c r="N197" s="39" t="inlineStr">
        <is>
          <t>Nile Production Support</t>
        </is>
      </c>
      <c r="O197" s="39" t="inlineStr">
        <is>
          <t>Unassigned</t>
        </is>
      </c>
      <c r="P197" s="39" t="inlineStr">
        <is>
          <t>Limbu, Sajan</t>
        </is>
      </c>
      <c r="Q197" s="39" t="inlineStr">
        <is>
          <t>Cancelled</t>
        </is>
      </c>
      <c r="R197" s="40" t="inlineStr">
        <is>
          <t>There is already another ticket created for this issue.</t>
        </is>
      </c>
      <c r="S197" s="39" t="inlineStr"/>
      <c r="T197" s="39" t="inlineStr"/>
      <c r="U197" s="39" t="inlineStr"/>
      <c r="V197" s="47" t="inlineStr">
        <is>
          <t>Data Issue</t>
        </is>
      </c>
      <c r="W197" s="39" t="inlineStr"/>
    </row>
    <row r="198">
      <c r="A198" s="42" t="inlineStr">
        <is>
          <t>IT-2972208</t>
        </is>
      </c>
      <c r="B198" s="42" t="inlineStr">
        <is>
          <t>IT-2972208</t>
        </is>
      </c>
      <c r="C198" s="42" t="inlineStr"/>
      <c r="D198" s="43" t="inlineStr">
        <is>
          <t>Centene Healthnet Claims Pipeline got Failed.</t>
        </is>
      </c>
      <c r="E198" s="43" t="inlineStr">
        <is>
          <t>{ }Centene Healthnet Claims Pipeline got Failed due to unmathc raw data count issue. Mailsub: Unmatched claims raw data count - 20260403_1 - prod - dm-centene-healthnet-actian_migration_HNT_claims</t>
        </is>
      </c>
      <c r="F198" s="43" t="inlineStr">
        <is>
          <t>Fixed the new schema for an extra column files have been delivered successfully. Closing this ticket</t>
        </is>
      </c>
      <c r="G198" s="43" t="inlineStr">
        <is>
          <t>Files have been delivered after fixing UDC mapping and validation</t>
        </is>
      </c>
      <c r="H198" s="42" t="inlineStr">
        <is>
          <t>Other</t>
        </is>
      </c>
      <c r="I198" s="42" t="inlineStr">
        <is>
          <t>Other</t>
        </is>
      </c>
      <c r="J198" s="42" t="inlineStr"/>
      <c r="K198" s="42" t="inlineStr">
        <is>
          <t>Closed</t>
        </is>
      </c>
      <c r="L198" s="42" t="inlineStr">
        <is>
          <t>2026-04-06</t>
        </is>
      </c>
      <c r="M198" s="42" t="inlineStr">
        <is>
          <t>2026-04-08</t>
        </is>
      </c>
      <c r="N198" s="42" t="inlineStr">
        <is>
          <t>Nile Production Support</t>
        </is>
      </c>
      <c r="O198" s="42" t="inlineStr">
        <is>
          <t>Unassigned</t>
        </is>
      </c>
      <c r="P198" s="42" t="inlineStr">
        <is>
          <t>Aryal, Neerajan</t>
        </is>
      </c>
      <c r="Q198" s="42" t="inlineStr">
        <is>
          <t>Resolved</t>
        </is>
      </c>
      <c r="R198" s="43" t="inlineStr">
        <is>
          <t>Fixed the new schema for an extra column files have been delivered successfully. Closing this ticket</t>
        </is>
      </c>
      <c r="S198" s="42" t="inlineStr"/>
      <c r="T198" s="42" t="inlineStr"/>
      <c r="U198" s="42" t="inlineStr"/>
      <c r="V198" s="52" t="inlineStr">
        <is>
          <t>Data Issue</t>
        </is>
      </c>
      <c r="W198" s="42" t="inlineStr"/>
    </row>
    <row r="199">
      <c r="A199" s="39" t="inlineStr">
        <is>
          <t>IT-2971684</t>
        </is>
      </c>
      <c r="B199" s="39" t="inlineStr">
        <is>
          <t>IT-2971684</t>
        </is>
      </c>
      <c r="C199" s="39" t="inlineStr"/>
      <c r="D199" s="40" t="inlineStr">
        <is>
          <t>ppm-premera-bluecross-history_professional_claims_GDF2_2_CDF2_2_Slim_Refactoring failure</t>
        </is>
      </c>
      <c r="E199" s="40" t="inlineStr">
        <is>
          <t>Hi, Pipeline ppm-premera-bluecross-history_professional_claims_GDF2_2_CDF2_2_Slim_Refactoring (2023-02-26-18587740) failed due to an unmatched record count. Please investigate:</t>
        </is>
      </c>
      <c r="F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40" t="inlineStr">
        <is>
          <t>Received replacement file due to schema issue and processed the latest file from nile.</t>
        </is>
      </c>
      <c r="H199" s="39" t="inlineStr">
        <is>
          <t>Other</t>
        </is>
      </c>
      <c r="I199" s="39" t="inlineStr">
        <is>
          <t>Other</t>
        </is>
      </c>
      <c r="J199" s="39" t="inlineStr"/>
      <c r="K199" s="39" t="inlineStr">
        <is>
          <t>Closed</t>
        </is>
      </c>
      <c r="L199" s="39" t="inlineStr">
        <is>
          <t>2026-04-05</t>
        </is>
      </c>
      <c r="M199" s="39" t="inlineStr">
        <is>
          <t>2026-04-07</t>
        </is>
      </c>
      <c r="N199" s="39" t="inlineStr">
        <is>
          <t>Nile Production Support</t>
        </is>
      </c>
      <c r="O199" s="39" t="inlineStr">
        <is>
          <t>Unassigned</t>
        </is>
      </c>
      <c r="P199" s="39" t="inlineStr">
        <is>
          <t>Jones, Sam [X] (Inactive)</t>
        </is>
      </c>
      <c r="Q199" s="39" t="inlineStr">
        <is>
          <t>Resolved</t>
        </is>
      </c>
      <c r="R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9" t="inlineStr"/>
      <c r="T199" s="39" t="inlineStr"/>
      <c r="U199" s="39" t="inlineStr"/>
      <c r="V199" s="47" t="inlineStr">
        <is>
          <t>Data Issue</t>
        </is>
      </c>
      <c r="W199" s="39" t="inlineStr"/>
    </row>
    <row r="200">
      <c r="A200" s="42" t="inlineStr">
        <is>
          <t>IT-2971217</t>
        </is>
      </c>
      <c r="B200" s="42" t="inlineStr">
        <is>
          <t>IT-2971217</t>
        </is>
      </c>
      <c r="C200" s="42" t="inlineStr"/>
      <c r="D200" s="43" t="inlineStr">
        <is>
          <t>PREBC - TBA PROF &amp; INST files missing - 04/04/2026</t>
        </is>
      </c>
      <c r="E200" s="43" t="inlineStr">
        <is>
          <t>Hi Nile Team, We are missing below files for 04/04/2026. Please check and let us know when we can expect the missing files. prebc_daily_incoming_2 prebc_outpatient_incoming_2</t>
        </is>
      </c>
      <c r="F200" s="43" t="inlineStr">
        <is>
          <t>For Prebc_daily files of data date 04/04 is not expected. For Prebc_daily files of data date 04/04 is not expected. For Prebc_daily files of data date 04/04 is not expected.</t>
        </is>
      </c>
      <c r="G200" s="43" t="inlineStr">
        <is>
          <t>For Prebc_daily files of data date 04/04 is not expected.</t>
        </is>
      </c>
      <c r="H200" s="42" t="inlineStr"/>
      <c r="I200" s="42" t="inlineStr"/>
      <c r="J200" s="42" t="inlineStr"/>
      <c r="K200" s="42" t="inlineStr">
        <is>
          <t>Closed</t>
        </is>
      </c>
      <c r="L200" s="42" t="inlineStr">
        <is>
          <t>2026-04-04</t>
        </is>
      </c>
      <c r="M200" s="42" t="inlineStr">
        <is>
          <t>2026-04-04</t>
        </is>
      </c>
      <c r="N200" s="42" t="inlineStr">
        <is>
          <t>Nile Production Support</t>
        </is>
      </c>
      <c r="O200" s="42" t="inlineStr">
        <is>
          <t>Unassigned</t>
        </is>
      </c>
      <c r="P200" s="42" t="inlineStr">
        <is>
          <t>Gudala, Kumaraswamy</t>
        </is>
      </c>
      <c r="Q200" s="42" t="inlineStr">
        <is>
          <t>Closed</t>
        </is>
      </c>
      <c r="R200" s="43" t="inlineStr">
        <is>
          <t>For Prebc_daily files of data date 04/04 is not expected. For Prebc_daily files of data date 04/04 is not expected. For Prebc_daily files of data date 04/04 is not expected.</t>
        </is>
      </c>
      <c r="S200" s="42" t="inlineStr"/>
      <c r="T200" s="42" t="inlineStr"/>
      <c r="U200" s="42" t="inlineStr"/>
      <c r="V200" s="44" t="inlineStr">
        <is>
          <t>File Missing</t>
        </is>
      </c>
      <c r="W200" s="42" t="inlineStr"/>
    </row>
    <row r="201">
      <c r="A201" s="39" t="inlineStr">
        <is>
          <t>IT-2971213</t>
        </is>
      </c>
      <c r="B201" s="39" t="inlineStr">
        <is>
          <t>IT-2971213</t>
        </is>
      </c>
      <c r="C201" s="39" t="inlineStr"/>
      <c r="D201" s="40" t="inlineStr">
        <is>
          <t>HAIEP - Daily file missing - 04/04/2026</t>
        </is>
      </c>
      <c r="E201" s="40" t="inlineStr">
        <is>
          <t>Hi Nile Team, We are missing the below daily file for 04/04/2026. Please check and let us know when we can expect the missing file. haiep_daily_incoming_*</t>
        </is>
      </c>
      <c r="F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40" t="inlineStr">
        <is>
          <t>Hamp client has been terminated. hence, we won't be receiving the files going forward.</t>
        </is>
      </c>
      <c r="H201" s="39" t="inlineStr"/>
      <c r="I201" s="39" t="inlineStr"/>
      <c r="J201" s="39" t="inlineStr"/>
      <c r="K201" s="39" t="inlineStr">
        <is>
          <t>Closed</t>
        </is>
      </c>
      <c r="L201" s="39" t="inlineStr">
        <is>
          <t>2026-04-04</t>
        </is>
      </c>
      <c r="M201" s="39" t="inlineStr">
        <is>
          <t>2026-04-15</t>
        </is>
      </c>
      <c r="N201" s="39" t="inlineStr">
        <is>
          <t>Nile Production Support</t>
        </is>
      </c>
      <c r="O201" s="39" t="inlineStr">
        <is>
          <t>Unassigned</t>
        </is>
      </c>
      <c r="P201" s="39" t="inlineStr">
        <is>
          <t>Gudala, Kumaraswamy</t>
        </is>
      </c>
      <c r="Q201" s="39" t="inlineStr">
        <is>
          <t>Closed</t>
        </is>
      </c>
      <c r="R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9" t="inlineStr"/>
      <c r="T201" s="39" t="inlineStr"/>
      <c r="U201" s="39" t="inlineStr"/>
      <c r="V201" s="55" t="inlineStr">
        <is>
          <t>File Missing</t>
        </is>
      </c>
      <c r="W201" s="39" t="inlineStr"/>
    </row>
    <row r="202">
      <c r="A202" s="42" t="inlineStr">
        <is>
          <t>IT-2971212</t>
        </is>
      </c>
      <c r="B202" s="42" t="inlineStr">
        <is>
          <t>IT-2971212</t>
        </is>
      </c>
      <c r="C202" s="42" t="inlineStr"/>
      <c r="D202" s="43" t="inlineStr">
        <is>
          <t>GEIHP - History PROF &amp; INST files missing - 04/04/2026</t>
        </is>
      </c>
      <c r="E202" s="43" t="inlineStr">
        <is>
          <t>Hi Nile Team, We are missing the below History files for 04/04/2026. Please check and let us know when we can expect the missing files. geihp_history_incoming* geihp_ophistory_incoming*</t>
        </is>
      </c>
      <c r="F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3"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42" t="inlineStr"/>
      <c r="I202" s="42" t="inlineStr"/>
      <c r="J202" s="42" t="inlineStr"/>
      <c r="K202" s="42" t="inlineStr">
        <is>
          <t>Closed</t>
        </is>
      </c>
      <c r="L202" s="42" t="inlineStr">
        <is>
          <t>2026-04-04</t>
        </is>
      </c>
      <c r="M202" s="42" t="inlineStr">
        <is>
          <t>2026-04-05</t>
        </is>
      </c>
      <c r="N202" s="42" t="inlineStr">
        <is>
          <t>Nile Production Support</t>
        </is>
      </c>
      <c r="O202" s="42" t="inlineStr">
        <is>
          <t>Unassigned</t>
        </is>
      </c>
      <c r="P202" s="42" t="inlineStr">
        <is>
          <t>Gudala, Kumaraswamy</t>
        </is>
      </c>
      <c r="Q202" s="42" t="inlineStr">
        <is>
          <t>Closed</t>
        </is>
      </c>
      <c r="R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42" t="inlineStr"/>
      <c r="T202" s="42" t="inlineStr"/>
      <c r="U202" s="42" t="inlineStr"/>
      <c r="V202" s="44" t="inlineStr">
        <is>
          <t>File Missing</t>
        </is>
      </c>
      <c r="W202" s="42" t="inlineStr"/>
    </row>
    <row r="203">
      <c r="A203" s="39" t="inlineStr">
        <is>
          <t>IT-2971057</t>
        </is>
      </c>
      <c r="B203" s="39" t="inlineStr">
        <is>
          <t>IT-2971057</t>
        </is>
      </c>
      <c r="C203" s="39" t="inlineStr"/>
      <c r="D203" s="40" t="inlineStr">
        <is>
          <t>Wellmark WELEX History Professional and Institutional files are missing for 04/04/2026,</t>
        </is>
      </c>
      <c r="E203" s="40" t="inlineStr">
        <is>
          <t>Hi Nile Team, Below Wellmark WELEX History Professional and Institutional files are missing for 04/04/2026, please check and let us know when we can expect the files. welex_history_incoming_1 welex_ophistory_incoming_1</t>
        </is>
      </c>
      <c r="F203" s="40" t="inlineStr">
        <is>
          <t>we have processed successfully from Nile side. we successfully processed the pipeline from the nile end.</t>
        </is>
      </c>
      <c r="G203" s="40" t="inlineStr">
        <is>
          <t>we successfully processed the pipeline from the nile end.</t>
        </is>
      </c>
      <c r="H203" s="39" t="inlineStr"/>
      <c r="I203" s="39" t="inlineStr"/>
      <c r="J203" s="39" t="inlineStr"/>
      <c r="K203" s="39" t="inlineStr">
        <is>
          <t>Closed</t>
        </is>
      </c>
      <c r="L203" s="39" t="inlineStr">
        <is>
          <t>2026-04-04</t>
        </is>
      </c>
      <c r="M203" s="39" t="inlineStr">
        <is>
          <t>2026-04-06</t>
        </is>
      </c>
      <c r="N203" s="39" t="inlineStr">
        <is>
          <t>Nile Production Support</t>
        </is>
      </c>
      <c r="O203" s="39" t="inlineStr">
        <is>
          <t>Unassigned</t>
        </is>
      </c>
      <c r="P203" s="39" t="inlineStr">
        <is>
          <t>Shinde, Vijaykumar</t>
        </is>
      </c>
      <c r="Q203" s="39" t="inlineStr">
        <is>
          <t>Closed</t>
        </is>
      </c>
      <c r="R203" s="40" t="inlineStr">
        <is>
          <t>we have processed successfully from Nile side. we successfully processed the pipeline from the nile end.</t>
        </is>
      </c>
      <c r="S203" s="39" t="inlineStr"/>
      <c r="T203" s="39" t="inlineStr"/>
      <c r="U203" s="39" t="inlineStr"/>
      <c r="V203" s="55" t="inlineStr">
        <is>
          <t>File Missing</t>
        </is>
      </c>
      <c r="W203" s="39" t="inlineStr"/>
    </row>
    <row r="204">
      <c r="A204" s="42" t="inlineStr">
        <is>
          <t>IT-2970603</t>
        </is>
      </c>
      <c r="B204" s="42" t="inlineStr">
        <is>
          <t>IT-2970603</t>
        </is>
      </c>
      <c r="C204" s="42" t="inlineStr"/>
      <c r="D204" s="43" t="inlineStr">
        <is>
          <t>Please help us resolve issue with pipeline bcbsnjhorizon_facets_no_touch</t>
        </is>
      </c>
      <c r="E204" s="43"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3" t="inlineStr">
        <is>
          <t>Files are processed</t>
        </is>
      </c>
      <c r="H204" s="42" t="inlineStr">
        <is>
          <t>Other</t>
        </is>
      </c>
      <c r="I204" s="42" t="inlineStr">
        <is>
          <t>Other</t>
        </is>
      </c>
      <c r="J204" s="42" t="inlineStr"/>
      <c r="K204" s="42" t="inlineStr">
        <is>
          <t>Closed</t>
        </is>
      </c>
      <c r="L204" s="42" t="inlineStr">
        <is>
          <t>2026-04-03</t>
        </is>
      </c>
      <c r="M204" s="42" t="inlineStr">
        <is>
          <t>2026-04-08</t>
        </is>
      </c>
      <c r="N204" s="42" t="inlineStr">
        <is>
          <t>Nile Production Support</t>
        </is>
      </c>
      <c r="O204" s="42" t="inlineStr">
        <is>
          <t>Unassigned</t>
        </is>
      </c>
      <c r="P204" s="42" t="inlineStr">
        <is>
          <t>Suryani, Melly</t>
        </is>
      </c>
      <c r="Q204" s="42" t="inlineStr">
        <is>
          <t>Resolved</t>
        </is>
      </c>
      <c r="R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42" t="inlineStr"/>
      <c r="T204" s="42" t="inlineStr"/>
      <c r="U204" s="42" t="inlineStr"/>
      <c r="V204" s="58" t="inlineStr">
        <is>
          <t>Issue Platform</t>
        </is>
      </c>
      <c r="W204" s="42" t="inlineStr"/>
    </row>
    <row r="205">
      <c r="A205" s="39" t="inlineStr">
        <is>
          <t>IT-2970560</t>
        </is>
      </c>
      <c r="B205" s="39" t="inlineStr">
        <is>
          <t>IT-2970560</t>
        </is>
      </c>
      <c r="C205" s="39" t="inlineStr"/>
      <c r="D205" s="40" t="inlineStr">
        <is>
          <t>No Claims in BAZHC</t>
        </is>
      </c>
      <c r="E205" s="40"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40" t="inlineStr">
        <is>
          <t>Hi Edwards, Andrea from Nile Side files are processed properly and we do not have any rejected records also Raw file line counts are matching with output files Thanks Satish Devatha Thank you, Devatha, Satish This ticket can be closed.</t>
        </is>
      </c>
      <c r="G205" s="40" t="inlineStr">
        <is>
          <t>Shared details</t>
        </is>
      </c>
      <c r="H205" s="39" t="inlineStr">
        <is>
          <t>Other</t>
        </is>
      </c>
      <c r="I205" s="39" t="inlineStr">
        <is>
          <t>Other</t>
        </is>
      </c>
      <c r="J205" s="39" t="inlineStr"/>
      <c r="K205" s="39" t="inlineStr">
        <is>
          <t>Closed</t>
        </is>
      </c>
      <c r="L205" s="39" t="inlineStr">
        <is>
          <t>2026-04-03</t>
        </is>
      </c>
      <c r="M205" s="39" t="inlineStr">
        <is>
          <t>2026-04-07</t>
        </is>
      </c>
      <c r="N205" s="39" t="inlineStr">
        <is>
          <t>Nile Production Support</t>
        </is>
      </c>
      <c r="O205" s="39" t="inlineStr">
        <is>
          <t>Unassigned</t>
        </is>
      </c>
      <c r="P205" s="39" t="inlineStr">
        <is>
          <t>Edwards, Andrea</t>
        </is>
      </c>
      <c r="Q205" s="39" t="inlineStr">
        <is>
          <t>Resolved</t>
        </is>
      </c>
      <c r="R205" s="40" t="inlineStr">
        <is>
          <t>Hi Edwards, Andrea from Nile Side files are processed properly and we do not have any rejected records also Raw file line counts are matching with output files Thanks Satish Devatha Thank you, Devatha, Satish This ticket can be closed.</t>
        </is>
      </c>
      <c r="S205" s="39" t="inlineStr"/>
      <c r="T205" s="39" t="inlineStr"/>
      <c r="U205" s="39" t="inlineStr"/>
      <c r="V205" s="55" t="inlineStr">
        <is>
          <t>File Missing</t>
        </is>
      </c>
      <c r="W205" s="39" t="inlineStr"/>
    </row>
    <row r="206">
      <c r="A206" s="42" t="inlineStr">
        <is>
          <t>IT-2970507</t>
        </is>
      </c>
      <c r="B206" s="42" t="inlineStr">
        <is>
          <t>IT-2970507</t>
        </is>
      </c>
      <c r="C206" s="42" t="inlineStr"/>
      <c r="D206" s="43" t="inlineStr">
        <is>
          <t>HAIEP :: haiep_history_incoming_1.04-03-2026_1610 file failure :: 04/03/2026</t>
        </is>
      </c>
      <c r="E206" s="43"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3" t="inlineStr">
        <is>
          <t>Can be closed per Andrea</t>
        </is>
      </c>
      <c r="H206" s="42" t="inlineStr">
        <is>
          <t>Other</t>
        </is>
      </c>
      <c r="I206" s="42" t="inlineStr">
        <is>
          <t>Other</t>
        </is>
      </c>
      <c r="J206" s="42" t="inlineStr"/>
      <c r="K206" s="42" t="inlineStr">
        <is>
          <t>Closed</t>
        </is>
      </c>
      <c r="L206" s="42" t="inlineStr">
        <is>
          <t>2026-04-03</t>
        </is>
      </c>
      <c r="M206" s="42" t="inlineStr">
        <is>
          <t>2026-04-07</t>
        </is>
      </c>
      <c r="N206" s="42" t="inlineStr">
        <is>
          <t>Nile Production Support</t>
        </is>
      </c>
      <c r="O206" s="42" t="inlineStr">
        <is>
          <t>Unassigned</t>
        </is>
      </c>
      <c r="P206" s="42" t="inlineStr">
        <is>
          <t>Edwards, Andrea</t>
        </is>
      </c>
      <c r="Q206" s="42" t="inlineStr">
        <is>
          <t>Resolved</t>
        </is>
      </c>
      <c r="R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42" t="inlineStr"/>
      <c r="T206" s="42" t="inlineStr"/>
      <c r="U206" s="42" t="inlineStr"/>
      <c r="V206" s="46" t="inlineStr">
        <is>
          <t>File Issue</t>
        </is>
      </c>
      <c r="W206" s="42" t="inlineStr"/>
    </row>
    <row r="207">
      <c r="A207" s="39" t="inlineStr">
        <is>
          <t>IT-2970242</t>
        </is>
      </c>
      <c r="B207" s="39" t="inlineStr">
        <is>
          <t>IT-2970242</t>
        </is>
      </c>
      <c r="C207" s="39" t="inlineStr"/>
      <c r="D207" s="40" t="inlineStr">
        <is>
          <t>BCBSLA PBM RCA Prod Transition Documents Review</t>
        </is>
      </c>
      <c r="E207" s="40" t="inlineStr">
        <is>
          <t>Please review the prod transition checklist documents for BCBSLA PBM RCA and let us know if any changes are needed. Creating this ticket as a placeholder. Will update ticket with document links once complete.</t>
        </is>
      </c>
      <c r="F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40" t="inlineStr">
        <is>
          <t>Transition completed.</t>
        </is>
      </c>
      <c r="H207" s="39" t="inlineStr">
        <is>
          <t>Other</t>
        </is>
      </c>
      <c r="I207" s="39" t="inlineStr">
        <is>
          <t>Other</t>
        </is>
      </c>
      <c r="J207" s="39" t="inlineStr"/>
      <c r="K207" s="39" t="inlineStr">
        <is>
          <t>Closed</t>
        </is>
      </c>
      <c r="L207" s="39" t="inlineStr">
        <is>
          <t>2026-04-03</t>
        </is>
      </c>
      <c r="M207" s="39" t="inlineStr">
        <is>
          <t>2026-04-23</t>
        </is>
      </c>
      <c r="N207" s="39" t="inlineStr">
        <is>
          <t>Nile Production Support</t>
        </is>
      </c>
      <c r="O207" s="39" t="inlineStr">
        <is>
          <t>Unassigned</t>
        </is>
      </c>
      <c r="P207" s="39" t="inlineStr">
        <is>
          <t>Malmgren, Natalie</t>
        </is>
      </c>
      <c r="Q207" s="39" t="inlineStr">
        <is>
          <t>Resolved</t>
        </is>
      </c>
      <c r="R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9" t="inlineStr"/>
      <c r="T207" s="39" t="inlineStr"/>
      <c r="U207" s="39" t="inlineStr"/>
      <c r="V207" s="51" t="inlineStr">
        <is>
          <t>Other</t>
        </is>
      </c>
      <c r="W207" s="39" t="inlineStr">
        <is>
          <t>Yes</t>
        </is>
      </c>
    </row>
    <row r="208">
      <c r="A208" s="42" t="inlineStr">
        <is>
          <t>IT-2970073</t>
        </is>
      </c>
      <c r="B208" s="42" t="inlineStr">
        <is>
          <t>IT-2970073</t>
        </is>
      </c>
      <c r="C208" s="42" t="inlineStr"/>
      <c r="D208" s="43" t="inlineStr">
        <is>
          <t>Please fix Kaiser-wa BMC pipeline</t>
        </is>
      </c>
      <c r="E208" s="43" t="inlineStr">
        <is>
          <t>please fix trigger_bmc_workflow-kaiser_wa_monthly as it is not schedule</t>
        </is>
      </c>
      <c r="F208" s="43" t="inlineStr">
        <is>
          <t>Fixed pre-check, publish child pipelines, and scheduled will ask Easley, Keaton to monitor</t>
        </is>
      </c>
      <c r="G208" s="43" t="inlineStr">
        <is>
          <t>Fixed pre-check, publish child pipelines, and scheduled</t>
        </is>
      </c>
      <c r="H208" s="42" t="inlineStr">
        <is>
          <t>Other</t>
        </is>
      </c>
      <c r="I208" s="42" t="inlineStr">
        <is>
          <t>Other</t>
        </is>
      </c>
      <c r="J208" s="42" t="inlineStr"/>
      <c r="K208" s="42" t="inlineStr">
        <is>
          <t>Closed</t>
        </is>
      </c>
      <c r="L208" s="42" t="inlineStr">
        <is>
          <t>2026-04-03</t>
        </is>
      </c>
      <c r="M208" s="42" t="inlineStr">
        <is>
          <t>2026-04-16</t>
        </is>
      </c>
      <c r="N208" s="42" t="inlineStr">
        <is>
          <t>Nile Production Support</t>
        </is>
      </c>
      <c r="O208" s="42" t="inlineStr">
        <is>
          <t>Unassigned</t>
        </is>
      </c>
      <c r="P208" s="42" t="inlineStr">
        <is>
          <t>Kabeya, Joel</t>
        </is>
      </c>
      <c r="Q208" s="42" t="inlineStr">
        <is>
          <t>Resolved</t>
        </is>
      </c>
      <c r="R208" s="43" t="inlineStr">
        <is>
          <t>Fixed pre-check, publish child pipelines, and scheduled will ask Easley, Keaton to monitor</t>
        </is>
      </c>
      <c r="S208" s="42" t="inlineStr"/>
      <c r="T208" s="42" t="inlineStr"/>
      <c r="U208" s="42" t="inlineStr"/>
      <c r="V208" s="48" t="inlineStr">
        <is>
          <t>Pipeline Schedule</t>
        </is>
      </c>
      <c r="W208" s="42" t="inlineStr"/>
    </row>
    <row r="209">
      <c r="A209" s="39" t="inlineStr">
        <is>
          <t>IT-2970071</t>
        </is>
      </c>
      <c r="B209" s="39" t="inlineStr">
        <is>
          <t>IT-2970071</t>
        </is>
      </c>
      <c r="C209" s="39" t="inlineStr"/>
      <c r="D209" s="40" t="inlineStr">
        <is>
          <t>please fix BCBS_MI-MedAdv BMC Pipeline</t>
        </is>
      </c>
      <c r="E209" s="40" t="inlineStr">
        <is>
          <t>please fix trigger_bmc_workflow-bcbs_mi_medadv_monthly bmc pipelines as it is not reflecting the latest child pipeline</t>
        </is>
      </c>
      <c r="F209" s="40" t="inlineStr">
        <is>
          <t>new pipeline created, scheduled pipeline, edited prechecks and made sure "pare" pipelines are all published</t>
        </is>
      </c>
      <c r="G209" s="40" t="inlineStr">
        <is>
          <t>Pipeline -- created a new version, changed to make pre checks work and made sure all calling pipelines are configured accordingly</t>
        </is>
      </c>
      <c r="H209" s="39" t="inlineStr">
        <is>
          <t>Other</t>
        </is>
      </c>
      <c r="I209" s="39" t="inlineStr">
        <is>
          <t>Other</t>
        </is>
      </c>
      <c r="J209" s="39" t="inlineStr"/>
      <c r="K209" s="39" t="inlineStr">
        <is>
          <t>Closed</t>
        </is>
      </c>
      <c r="L209" s="39" t="inlineStr">
        <is>
          <t>2026-04-03</t>
        </is>
      </c>
      <c r="M209" s="39" t="inlineStr">
        <is>
          <t>2026-04-24</t>
        </is>
      </c>
      <c r="N209" s="39" t="inlineStr">
        <is>
          <t>Nile Production Support</t>
        </is>
      </c>
      <c r="O209" s="39" t="inlineStr">
        <is>
          <t>Unassigned</t>
        </is>
      </c>
      <c r="P209" s="39" t="inlineStr">
        <is>
          <t>Kabeya, Joel</t>
        </is>
      </c>
      <c r="Q209" s="39" t="inlineStr">
        <is>
          <t>Resolved</t>
        </is>
      </c>
      <c r="R209" s="40" t="inlineStr">
        <is>
          <t>new pipeline created, scheduled pipeline, edited prechecks and made sure "pare" pipelines are all published</t>
        </is>
      </c>
      <c r="S209" s="39" t="inlineStr"/>
      <c r="T209" s="39" t="inlineStr"/>
      <c r="U209" s="39" t="inlineStr"/>
      <c r="V209" s="51" t="inlineStr">
        <is>
          <t>Other</t>
        </is>
      </c>
      <c r="W209" s="39" t="inlineStr">
        <is>
          <t>Yes</t>
        </is>
      </c>
    </row>
    <row r="210">
      <c r="A210" s="42" t="inlineStr">
        <is>
          <t>IT-2969877</t>
        </is>
      </c>
      <c r="B210" s="42" t="inlineStr">
        <is>
          <t>IT-2969877</t>
        </is>
      </c>
      <c r="C210" s="42" t="inlineStr"/>
      <c r="D210" s="43" t="inlineStr">
        <is>
          <t>Copy files From Nile Prod Raw path to Nile QC Raw path - UHC-CSP</t>
        </is>
      </c>
      <c r="E210" s="43"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3" t="inlineStr">
        <is>
          <t>all data copied as requested and verified.</t>
        </is>
      </c>
      <c r="H210" s="42" t="inlineStr">
        <is>
          <t>Other</t>
        </is>
      </c>
      <c r="I210" s="42" t="inlineStr">
        <is>
          <t>Other</t>
        </is>
      </c>
      <c r="J210" s="42" t="inlineStr"/>
      <c r="K210" s="42" t="inlineStr">
        <is>
          <t>Closed</t>
        </is>
      </c>
      <c r="L210" s="42" t="inlineStr">
        <is>
          <t>2026-04-03</t>
        </is>
      </c>
      <c r="M210" s="42" t="inlineStr">
        <is>
          <t>2026-04-03</t>
        </is>
      </c>
      <c r="N210" s="42" t="inlineStr">
        <is>
          <t>Nile Production Support</t>
        </is>
      </c>
      <c r="O210" s="42" t="inlineStr">
        <is>
          <t>Unassigned</t>
        </is>
      </c>
      <c r="P210" s="42" t="inlineStr">
        <is>
          <t>Pati, Jagadeesh Chandra</t>
        </is>
      </c>
      <c r="Q210" s="42" t="inlineStr">
        <is>
          <t>Resolved</t>
        </is>
      </c>
      <c r="R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42" t="inlineStr"/>
      <c r="T210" s="42" t="inlineStr"/>
      <c r="U210" s="42" t="inlineStr"/>
      <c r="V210" s="50" t="inlineStr">
        <is>
          <t>Other</t>
        </is>
      </c>
      <c r="W210" s="42" t="inlineStr">
        <is>
          <t>Yes</t>
        </is>
      </c>
    </row>
    <row r="211">
      <c r="A211" s="39" t="inlineStr">
        <is>
          <t>IT-2969463</t>
        </is>
      </c>
      <c r="B211" s="39" t="inlineStr">
        <is>
          <t>IT-2969463</t>
        </is>
      </c>
      <c r="C211" s="39" t="inlineStr"/>
      <c r="D211" s="40" t="inlineStr">
        <is>
          <t>HCSCG : History PROF and INSTI files missing : 04/02/2026</t>
        </is>
      </c>
      <c r="E211" s="40" t="inlineStr">
        <is>
          <t>Hi Nile Team, We are missing HCSCG History Professional and Institutional for 04/02 scheduled at 9 PM EST, So please check and provide us an update. hcscg_history_incoming_1 hcscg_ophistory_incoming_1</t>
        </is>
      </c>
      <c r="F211" s="40" t="inlineStr">
        <is>
          <t>Send an escalation missing file email to client: Missing Files: hcscg history 20260402 (Amik). No file per client:</t>
        </is>
      </c>
      <c r="G211" s="40" t="inlineStr">
        <is>
          <t>no file per client</t>
        </is>
      </c>
      <c r="H211" s="39" t="inlineStr"/>
      <c r="I211" s="39" t="inlineStr"/>
      <c r="J211" s="39" t="inlineStr"/>
      <c r="K211" s="39" t="inlineStr">
        <is>
          <t>Closed</t>
        </is>
      </c>
      <c r="L211" s="39" t="inlineStr">
        <is>
          <t>2026-04-03</t>
        </is>
      </c>
      <c r="M211" s="39" t="inlineStr">
        <is>
          <t>2026-04-08</t>
        </is>
      </c>
      <c r="N211" s="39" t="inlineStr">
        <is>
          <t>Nile Production Support</t>
        </is>
      </c>
      <c r="O211" s="39" t="inlineStr">
        <is>
          <t>Unassigned</t>
        </is>
      </c>
      <c r="P211" s="39" t="inlineStr">
        <is>
          <t>Shinde, Vijaykumar</t>
        </is>
      </c>
      <c r="Q211" s="39" t="inlineStr">
        <is>
          <t>Closed</t>
        </is>
      </c>
      <c r="R211" s="40" t="inlineStr">
        <is>
          <t>Send an escalation missing file email to client: Missing Files: hcscg history 20260402 (Amik). No file per client:</t>
        </is>
      </c>
      <c r="S211" s="39" t="inlineStr"/>
      <c r="T211" s="39" t="inlineStr"/>
      <c r="U211" s="39" t="inlineStr"/>
      <c r="V211" s="55" t="inlineStr">
        <is>
          <t>File Missing</t>
        </is>
      </c>
      <c r="W211" s="39" t="inlineStr"/>
    </row>
    <row r="212">
      <c r="A212" s="42" t="inlineStr">
        <is>
          <t>IT-2969243</t>
        </is>
      </c>
      <c r="B212" s="42" t="inlineStr">
        <is>
          <t>IT-2969243</t>
        </is>
      </c>
      <c r="C212" s="42" t="inlineStr"/>
      <c r="D212" s="43" t="inlineStr">
        <is>
          <t>Data copy Request</t>
        </is>
      </c>
      <c r="E212" s="43" t="inlineStr">
        <is>
          <t>Hello Devatha, Satish , I kindly request you to copy the latest ingestion-date data files for Premera history to the dev environment to test the pipelines built using the new PPM template. Thank You.</t>
        </is>
      </c>
      <c r="F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3" t="inlineStr">
        <is>
          <t>Data Copied</t>
        </is>
      </c>
      <c r="H212" s="42" t="inlineStr">
        <is>
          <t>Other</t>
        </is>
      </c>
      <c r="I212" s="42" t="inlineStr">
        <is>
          <t>Other</t>
        </is>
      </c>
      <c r="J212" s="42" t="inlineStr"/>
      <c r="K212" s="42" t="inlineStr">
        <is>
          <t>Closed</t>
        </is>
      </c>
      <c r="L212" s="42" t="inlineStr">
        <is>
          <t>2026-04-03</t>
        </is>
      </c>
      <c r="M212" s="42" t="inlineStr">
        <is>
          <t>2026-04-03</t>
        </is>
      </c>
      <c r="N212" s="42" t="inlineStr">
        <is>
          <t>Nile Production Support</t>
        </is>
      </c>
      <c r="O212" s="42" t="inlineStr">
        <is>
          <t>Unassigned</t>
        </is>
      </c>
      <c r="P212" s="42" t="inlineStr">
        <is>
          <t>Karakavalasa, SriVarshini</t>
        </is>
      </c>
      <c r="Q212" s="42" t="inlineStr">
        <is>
          <t>Resolved</t>
        </is>
      </c>
      <c r="R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42" t="inlineStr"/>
      <c r="T212" s="42" t="inlineStr"/>
      <c r="U212" s="42" t="inlineStr"/>
      <c r="V212" s="50" t="inlineStr">
        <is>
          <t>Other</t>
        </is>
      </c>
      <c r="W212" s="42" t="inlineStr">
        <is>
          <t>Yes</t>
        </is>
      </c>
    </row>
    <row r="213">
      <c r="A213" s="39" t="inlineStr">
        <is>
          <t>IT-2969231</t>
        </is>
      </c>
      <c r="B213" s="39" t="inlineStr">
        <is>
          <t>IT-2969231</t>
        </is>
      </c>
      <c r="C213" s="39" t="inlineStr"/>
      <c r="D213" s="40" t="inlineStr">
        <is>
          <t>Skip Aetna Hrp Payment pipeline for 03/23 Data Date.</t>
        </is>
      </c>
      <c r="E213" s="40" t="inlineStr">
        <is>
          <t>Skip Aetna Hrp Payment pipeline for 03/23 Data Date.</t>
        </is>
      </c>
      <c r="F213" s="40" t="inlineStr"/>
      <c r="G213" s="40" t="inlineStr">
        <is>
          <t>Ingestion Date Skipped 03/23.</t>
        </is>
      </c>
      <c r="H213" s="39" t="inlineStr">
        <is>
          <t>Other</t>
        </is>
      </c>
      <c r="I213" s="39" t="inlineStr">
        <is>
          <t>Other</t>
        </is>
      </c>
      <c r="J213" s="39" t="inlineStr"/>
      <c r="K213" s="39" t="inlineStr">
        <is>
          <t>Closed</t>
        </is>
      </c>
      <c r="L213" s="39" t="inlineStr">
        <is>
          <t>2026-04-03</t>
        </is>
      </c>
      <c r="M213" s="39" t="inlineStr">
        <is>
          <t>2026-04-03</t>
        </is>
      </c>
      <c r="N213" s="39" t="inlineStr">
        <is>
          <t>Nile Production Support</t>
        </is>
      </c>
      <c r="O213" s="39" t="inlineStr">
        <is>
          <t>Unassigned</t>
        </is>
      </c>
      <c r="P213" s="39" t="inlineStr">
        <is>
          <t>Aryal, Neerajan</t>
        </is>
      </c>
      <c r="Q213" s="39" t="inlineStr">
        <is>
          <t>Resolved</t>
        </is>
      </c>
      <c r="R213" s="40" t="inlineStr"/>
      <c r="S213" s="39" t="inlineStr"/>
      <c r="T213" s="39" t="inlineStr"/>
      <c r="U213" s="39" t="inlineStr"/>
      <c r="V213" s="51" t="inlineStr">
        <is>
          <t>Other</t>
        </is>
      </c>
      <c r="W213" s="39" t="inlineStr">
        <is>
          <t>Yes</t>
        </is>
      </c>
    </row>
    <row r="214">
      <c r="A214" s="42" t="inlineStr">
        <is>
          <t>IT-2969193</t>
        </is>
      </c>
      <c r="B214" s="42" t="inlineStr">
        <is>
          <t>IT-2969193</t>
        </is>
      </c>
      <c r="C214" s="42" t="inlineStr"/>
      <c r="D214" s="43" t="inlineStr">
        <is>
          <t>dm-bcbs_ma_bcbs_ma-actian_migration_caqh_and_bmc_workflow_CHC_BCBS_MA_ADH_CAQH_Load_NILE - "the pipeline didn't pick the 2026/03/27 file"</t>
        </is>
      </c>
      <c r="E214" s="43" t="inlineStr">
        <is>
          <t>Pipeline Name: dm-bcbs_ma_bcbs_ma-actian_migration_caqh_and_bmc_workflow_CHC_BCBS_MA_ADH_CAQH_Load_NILE Description: The 2026/03/27 dated file is available in spooler However, the pipeline didn't pick the file.</t>
        </is>
      </c>
      <c r="F214" s="43" t="inlineStr">
        <is>
          <t>filename pattern changed, pipeline ran successfully now.</t>
        </is>
      </c>
      <c r="G214" s="43" t="inlineStr">
        <is>
          <t>filename pattern changed, pipeline ran successfully now.</t>
        </is>
      </c>
      <c r="H214" s="42" t="inlineStr">
        <is>
          <t>Other</t>
        </is>
      </c>
      <c r="I214" s="42" t="inlineStr">
        <is>
          <t>Other</t>
        </is>
      </c>
      <c r="J214" s="42" t="inlineStr"/>
      <c r="K214" s="42" t="inlineStr">
        <is>
          <t>Closed</t>
        </is>
      </c>
      <c r="L214" s="42" t="inlineStr">
        <is>
          <t>2026-04-03</t>
        </is>
      </c>
      <c r="M214" s="42" t="inlineStr">
        <is>
          <t>2026-04-03</t>
        </is>
      </c>
      <c r="N214" s="42" t="inlineStr">
        <is>
          <t>Nile Production Support</t>
        </is>
      </c>
      <c r="O214" s="42" t="inlineStr">
        <is>
          <t>Unassigned</t>
        </is>
      </c>
      <c r="P214" s="42" t="inlineStr">
        <is>
          <t>Limbu, Sajan</t>
        </is>
      </c>
      <c r="Q214" s="42" t="inlineStr">
        <is>
          <t>Resolved</t>
        </is>
      </c>
      <c r="R214" s="43" t="inlineStr">
        <is>
          <t>filename pattern changed, pipeline ran successfully now.</t>
        </is>
      </c>
      <c r="S214" s="42" t="inlineStr"/>
      <c r="T214" s="42" t="inlineStr"/>
      <c r="U214" s="42" t="inlineStr"/>
      <c r="V214" s="57" t="inlineStr">
        <is>
          <t>Spooler issue</t>
        </is>
      </c>
      <c r="W214" s="42" t="inlineStr"/>
    </row>
    <row r="215">
      <c r="A215" s="39" t="inlineStr">
        <is>
          <t>IT-2969107</t>
        </is>
      </c>
      <c r="B215" s="39" t="inlineStr">
        <is>
          <t>IT-2969107</t>
        </is>
      </c>
      <c r="C215" s="39" t="inlineStr"/>
      <c r="D215" s="40" t="inlineStr">
        <is>
          <t>fwa-BCBSND-OSCAR_member_GDF2_3 (ingestion date 3/11)</t>
        </is>
      </c>
      <c r="E215" s="40" t="inlineStr">
        <is>
          <t>One of the member files, bcsnd_memberenrollment_incoming_20260311_1.txt.pgp ; Originally came on 3/11, and then we respooled a replacement on 3/30, but it seems we still have issue after that.</t>
        </is>
      </c>
      <c r="F215" s="40" t="inlineStr">
        <is>
          <t>fwa-BCBSND-OSCAR_member_GDF2_3 version 1.1 was created and fixed the loading issuees.</t>
        </is>
      </c>
      <c r="G215" s="40" t="inlineStr">
        <is>
          <t>Files were delivered successfully after new pipeline was created</t>
        </is>
      </c>
      <c r="H215" s="39" t="inlineStr">
        <is>
          <t>Other</t>
        </is>
      </c>
      <c r="I215" s="39" t="inlineStr">
        <is>
          <t>Other</t>
        </is>
      </c>
      <c r="J215" s="39" t="inlineStr"/>
      <c r="K215" s="39" t="inlineStr">
        <is>
          <t>Closed</t>
        </is>
      </c>
      <c r="L215" s="39" t="inlineStr">
        <is>
          <t>2026-04-03</t>
        </is>
      </c>
      <c r="M215" s="39" t="inlineStr">
        <is>
          <t>2026-04-08</t>
        </is>
      </c>
      <c r="N215" s="39" t="inlineStr">
        <is>
          <t>Nile Production Support</t>
        </is>
      </c>
      <c r="O215" s="39" t="inlineStr">
        <is>
          <t>Unassigned</t>
        </is>
      </c>
      <c r="P215" s="39" t="inlineStr">
        <is>
          <t>Limbu, Sajan</t>
        </is>
      </c>
      <c r="Q215" s="39" t="inlineStr">
        <is>
          <t>Resolved</t>
        </is>
      </c>
      <c r="R215" s="40" t="inlineStr">
        <is>
          <t>fwa-BCBSND-OSCAR_member_GDF2_3 version 1.1 was created and fixed the loading issuees.</t>
        </is>
      </c>
      <c r="S215" s="39" t="inlineStr"/>
      <c r="T215" s="39" t="inlineStr"/>
      <c r="U215" s="39" t="inlineStr"/>
      <c r="V215" s="53" t="inlineStr">
        <is>
          <t>Spooler issue</t>
        </is>
      </c>
      <c r="W215" s="39" t="inlineStr"/>
    </row>
    <row r="216">
      <c r="A216" s="42" t="inlineStr">
        <is>
          <t>IT-2968498</t>
        </is>
      </c>
      <c r="B216" s="42" t="inlineStr">
        <is>
          <t>IT-2968498</t>
        </is>
      </c>
      <c r="C216" s="42" t="inlineStr"/>
      <c r="D216" s="43" t="inlineStr">
        <is>
          <t>Production spooler update</t>
        </is>
      </c>
      <c r="E216" s="43"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3" t="inlineStr">
        <is>
          <t>Hi Varghese, Shilpa Anna , Updated the filename pattern to line_of_business_*.csv Let me know if anything needed.</t>
        </is>
      </c>
      <c r="G216" s="43" t="inlineStr">
        <is>
          <t>Updated the filename pattern in spooler.</t>
        </is>
      </c>
      <c r="H216" s="42" t="inlineStr">
        <is>
          <t>Other</t>
        </is>
      </c>
      <c r="I216" s="42" t="inlineStr">
        <is>
          <t>Other</t>
        </is>
      </c>
      <c r="J216" s="42" t="inlineStr"/>
      <c r="K216" s="42" t="inlineStr">
        <is>
          <t>Closed</t>
        </is>
      </c>
      <c r="L216" s="42" t="inlineStr">
        <is>
          <t>2026-04-02</t>
        </is>
      </c>
      <c r="M216" s="42" t="inlineStr">
        <is>
          <t>2026-04-05</t>
        </is>
      </c>
      <c r="N216" s="42" t="inlineStr">
        <is>
          <t>Nile Production Support</t>
        </is>
      </c>
      <c r="O216" s="42" t="inlineStr">
        <is>
          <t>Unassigned</t>
        </is>
      </c>
      <c r="P216" s="42" t="inlineStr">
        <is>
          <t>Varghese, Shilpa Anna</t>
        </is>
      </c>
      <c r="Q216" s="42" t="inlineStr">
        <is>
          <t>Resolved</t>
        </is>
      </c>
      <c r="R216" s="43" t="inlineStr">
        <is>
          <t>Hi Varghese, Shilpa Anna , Updated the filename pattern to line_of_business_*.csv Let me know if anything needed.</t>
        </is>
      </c>
      <c r="S216" s="42" t="inlineStr"/>
      <c r="T216" s="42" t="inlineStr"/>
      <c r="U216" s="42" t="inlineStr"/>
      <c r="V216" s="46" t="inlineStr">
        <is>
          <t>File Issue</t>
        </is>
      </c>
      <c r="W216" s="42" t="inlineStr"/>
    </row>
    <row r="217">
      <c r="A217" s="39" t="inlineStr">
        <is>
          <t>IT-2968200</t>
        </is>
      </c>
      <c r="B217" s="39" t="inlineStr">
        <is>
          <t>IT-2968200</t>
        </is>
      </c>
      <c r="C217" s="39" t="inlineStr"/>
      <c r="D217" s="40" t="inlineStr">
        <is>
          <t>Cannot locate claim for BCBSAZ</t>
        </is>
      </c>
      <c r="E217" s="40" t="inlineStr">
        <is>
          <t>Hi, Could you let me know what file claim 25321E03401or A25321E03401 is located in or if we have received it for HAZMD (stream BAZHC)? The client is trying to open an appeal but cannot locate the claim. Thanks,</t>
        </is>
      </c>
      <c r="F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40" t="inlineStr">
        <is>
          <t>Provided the necessary analysis for end user and confirmed they have everything they need</t>
        </is>
      </c>
      <c r="H217" s="39" t="inlineStr"/>
      <c r="I217" s="39" t="inlineStr"/>
      <c r="J217" s="39" t="inlineStr"/>
      <c r="K217" s="39" t="inlineStr">
        <is>
          <t>Closed</t>
        </is>
      </c>
      <c r="L217" s="39" t="inlineStr">
        <is>
          <t>2026-04-02</t>
        </is>
      </c>
      <c r="M217" s="39" t="inlineStr">
        <is>
          <t>2026-04-09</t>
        </is>
      </c>
      <c r="N217" s="39" t="inlineStr">
        <is>
          <t>Nile Production Support</t>
        </is>
      </c>
      <c r="O217" s="39" t="inlineStr">
        <is>
          <t>Unassigned</t>
        </is>
      </c>
      <c r="P217" s="39" t="inlineStr">
        <is>
          <t>Greene, Haley</t>
        </is>
      </c>
      <c r="Q217" s="39" t="inlineStr">
        <is>
          <t>Closed</t>
        </is>
      </c>
      <c r="R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9" t="inlineStr"/>
      <c r="T217" s="39" t="inlineStr"/>
      <c r="U217" s="39" t="inlineStr"/>
      <c r="V217" s="47" t="inlineStr">
        <is>
          <t>Data Issue</t>
        </is>
      </c>
      <c r="W217" s="39" t="inlineStr"/>
    </row>
    <row r="218">
      <c r="A218" s="42" t="inlineStr">
        <is>
          <t>IT-2967657</t>
        </is>
      </c>
      <c r="B218" s="42" t="inlineStr">
        <is>
          <t>IT-2967657</t>
        </is>
      </c>
      <c r="C218" s="42" t="inlineStr"/>
      <c r="D218" s="43" t="inlineStr">
        <is>
          <t>Aetna MCD CAQH-Request to include new Region</t>
        </is>
      </c>
      <c r="E218" s="43"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3" t="inlineStr">
        <is>
          <t>new file pattern is now being saved after added to mcd files</t>
        </is>
      </c>
      <c r="H218" s="42" t="inlineStr">
        <is>
          <t>Other</t>
        </is>
      </c>
      <c r="I218" s="42" t="inlineStr">
        <is>
          <t>Other</t>
        </is>
      </c>
      <c r="J218" s="42" t="inlineStr"/>
      <c r="K218" s="42" t="inlineStr">
        <is>
          <t>Closed</t>
        </is>
      </c>
      <c r="L218" s="42" t="inlineStr">
        <is>
          <t>2026-04-02</t>
        </is>
      </c>
      <c r="M218" s="42" t="inlineStr">
        <is>
          <t>2026-04-11</t>
        </is>
      </c>
      <c r="N218" s="42" t="inlineStr">
        <is>
          <t>Nile Production Support</t>
        </is>
      </c>
      <c r="O218" s="42" t="inlineStr">
        <is>
          <t>Unassigned</t>
        </is>
      </c>
      <c r="P218" s="42" t="inlineStr">
        <is>
          <t>Vandanath, Teena</t>
        </is>
      </c>
      <c r="Q218" s="42" t="inlineStr">
        <is>
          <t>Resolved</t>
        </is>
      </c>
      <c r="R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42" t="inlineStr"/>
      <c r="T218" s="42" t="inlineStr"/>
      <c r="U218" s="42" t="inlineStr"/>
      <c r="V218" s="50" t="inlineStr">
        <is>
          <t>Other</t>
        </is>
      </c>
      <c r="W218" s="42" t="inlineStr">
        <is>
          <t>Yes</t>
        </is>
      </c>
    </row>
    <row r="219">
      <c r="A219" s="39" t="inlineStr">
        <is>
          <t>IT-2967631</t>
        </is>
      </c>
      <c r="B219" s="39" t="inlineStr">
        <is>
          <t>IT-2967631</t>
        </is>
      </c>
      <c r="C219" s="39" t="inlineStr"/>
      <c r="D219" s="40" t="inlineStr">
        <is>
          <t>Please Run These Medical Codes Library Quarterly Pipelines</t>
        </is>
      </c>
      <c r="E219" s="40" t="inlineStr">
        <is>
          <t>Hello, Nile Team. Please run the MCL quarterly pipelines. The pipelines and their source file locations are contained in the attached Excel document. There are 37 pipelines that need to be run. Please let me know if you have any questions. Thanks. Mike</t>
        </is>
      </c>
      <c r="F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40" t="inlineStr">
        <is>
          <t>Successfully loaded all the files to target tables. Got confirmation from user to close the ticket.</t>
        </is>
      </c>
      <c r="H219" s="39" t="inlineStr">
        <is>
          <t>Other</t>
        </is>
      </c>
      <c r="I219" s="39" t="inlineStr">
        <is>
          <t>Other</t>
        </is>
      </c>
      <c r="J219" s="39" t="inlineStr"/>
      <c r="K219" s="39" t="inlineStr">
        <is>
          <t>Closed</t>
        </is>
      </c>
      <c r="L219" s="39" t="inlineStr">
        <is>
          <t>2026-04-02</t>
        </is>
      </c>
      <c r="M219" s="39" t="inlineStr">
        <is>
          <t>2026-04-17</t>
        </is>
      </c>
      <c r="N219" s="39" t="inlineStr">
        <is>
          <t>Nile Production Support</t>
        </is>
      </c>
      <c r="O219" s="39" t="inlineStr">
        <is>
          <t>Unassigned</t>
        </is>
      </c>
      <c r="P219" s="39" t="inlineStr">
        <is>
          <t>Deynarian, Michael</t>
        </is>
      </c>
      <c r="Q219" s="39" t="inlineStr">
        <is>
          <t>Resolved</t>
        </is>
      </c>
      <c r="R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9" t="inlineStr"/>
      <c r="T219" s="39" t="inlineStr"/>
      <c r="U219" s="39" t="inlineStr"/>
      <c r="V219" s="49" t="inlineStr">
        <is>
          <t>File Issue</t>
        </is>
      </c>
      <c r="W219" s="39" t="inlineStr"/>
    </row>
    <row r="220">
      <c r="A220" s="42" t="inlineStr">
        <is>
          <t>IT-2967594</t>
        </is>
      </c>
      <c r="B220" s="42" t="inlineStr">
        <is>
          <t>IT-2967594</t>
        </is>
      </c>
      <c r="C220" s="42" t="inlineStr"/>
      <c r="D220" s="43" t="inlineStr">
        <is>
          <t>Aetna MCD- Request to separate out the HEW files</t>
        </is>
      </c>
      <c r="E220" s="43"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3" t="inlineStr">
        <is>
          <t>4Q25 file only reprocessing with 20260331 datadate. pipeline is running for 20260331 datadte for 4Q25 file. Nile processed both 4Q25 and 1Q26 files Thanks Satish Devatha</t>
        </is>
      </c>
      <c r="G220" s="43" t="inlineStr">
        <is>
          <t>Nile processed both 4Q25 and 1Q26 files</t>
        </is>
      </c>
      <c r="H220" s="42" t="inlineStr">
        <is>
          <t>Other</t>
        </is>
      </c>
      <c r="I220" s="42" t="inlineStr">
        <is>
          <t>Other</t>
        </is>
      </c>
      <c r="J220" s="42" t="inlineStr"/>
      <c r="K220" s="42" t="inlineStr">
        <is>
          <t>Closed</t>
        </is>
      </c>
      <c r="L220" s="42" t="inlineStr">
        <is>
          <t>2026-04-02</t>
        </is>
      </c>
      <c r="M220" s="42" t="inlineStr">
        <is>
          <t>2026-04-02</t>
        </is>
      </c>
      <c r="N220" s="42" t="inlineStr">
        <is>
          <t>Nile Production Support</t>
        </is>
      </c>
      <c r="O220" s="42" t="inlineStr">
        <is>
          <t>Unassigned</t>
        </is>
      </c>
      <c r="P220" s="42" t="inlineStr">
        <is>
          <t>Vandanath, Teena</t>
        </is>
      </c>
      <c r="Q220" s="42" t="inlineStr">
        <is>
          <t>Resolved</t>
        </is>
      </c>
      <c r="R220" s="43" t="inlineStr">
        <is>
          <t>4Q25 file only reprocessing with 20260331 datadate. pipeline is running for 20260331 datadte for 4Q25 file. Nile processed both 4Q25 and 1Q26 files Thanks Satish Devatha</t>
        </is>
      </c>
      <c r="S220" s="42" t="inlineStr"/>
      <c r="T220" s="42" t="inlineStr"/>
      <c r="U220" s="42" t="inlineStr"/>
      <c r="V220" s="50" t="inlineStr">
        <is>
          <t>Other</t>
        </is>
      </c>
      <c r="W220" s="42" t="inlineStr">
        <is>
          <t>Yes</t>
        </is>
      </c>
    </row>
    <row r="221">
      <c r="A221" s="39" t="inlineStr">
        <is>
          <t>IT-2966966</t>
        </is>
      </c>
      <c r="B221" s="39" t="inlineStr">
        <is>
          <t>IT-2966966</t>
        </is>
      </c>
      <c r="C221" s="39" t="inlineStr"/>
      <c r="D221" s="40" t="inlineStr">
        <is>
          <t>Premera BlueCross PPM OLA Configuration Update.</t>
        </is>
      </c>
      <c r="E221" s="40" t="inlineStr">
        <is>
          <t>Premera BlueCross PPM OLA Configuration Update.</t>
        </is>
      </c>
      <c r="F221" s="40" t="inlineStr"/>
      <c r="G221" s="40" t="inlineStr">
        <is>
          <t>Configuration Updated.</t>
        </is>
      </c>
      <c r="H221" s="39" t="inlineStr">
        <is>
          <t>Other</t>
        </is>
      </c>
      <c r="I221" s="39" t="inlineStr">
        <is>
          <t>Other</t>
        </is>
      </c>
      <c r="J221" s="39" t="inlineStr"/>
      <c r="K221" s="39" t="inlineStr">
        <is>
          <t>Closed</t>
        </is>
      </c>
      <c r="L221" s="39" t="inlineStr">
        <is>
          <t>2026-04-02</t>
        </is>
      </c>
      <c r="M221" s="39" t="inlineStr">
        <is>
          <t>2026-04-02</t>
        </is>
      </c>
      <c r="N221" s="39" t="inlineStr">
        <is>
          <t>Nile Production Support</t>
        </is>
      </c>
      <c r="O221" s="39" t="inlineStr">
        <is>
          <t>Unassigned</t>
        </is>
      </c>
      <c r="P221" s="39" t="inlineStr">
        <is>
          <t>Jani, Shaik</t>
        </is>
      </c>
      <c r="Q221" s="39" t="inlineStr">
        <is>
          <t>Resolved</t>
        </is>
      </c>
      <c r="R221" s="40" t="inlineStr"/>
      <c r="S221" s="39" t="inlineStr"/>
      <c r="T221" s="39" t="inlineStr"/>
      <c r="U221" s="39" t="inlineStr"/>
      <c r="V221" s="45" t="inlineStr">
        <is>
          <t>Configuration Issue</t>
        </is>
      </c>
      <c r="W221" s="39" t="inlineStr"/>
    </row>
    <row r="222">
      <c r="A222" s="42" t="inlineStr">
        <is>
          <t>IT-2966953</t>
        </is>
      </c>
      <c r="B222" s="42" t="inlineStr">
        <is>
          <t>IT-2966953</t>
        </is>
      </c>
      <c r="C222" s="42" t="inlineStr"/>
      <c r="D222" s="43" t="inlineStr">
        <is>
          <t>Oscar Health PPM OLA Config Update.</t>
        </is>
      </c>
      <c r="E222" s="43" t="inlineStr">
        <is>
          <t>Oscar Health PPM OLA Config Update. in Prod Ops Application.</t>
        </is>
      </c>
      <c r="F222" s="43" t="inlineStr"/>
      <c r="G222" s="43" t="inlineStr">
        <is>
          <t>Config updated as per the data escalation plan</t>
        </is>
      </c>
      <c r="H222" s="42" t="inlineStr">
        <is>
          <t>Other</t>
        </is>
      </c>
      <c r="I222" s="42" t="inlineStr">
        <is>
          <t>Other</t>
        </is>
      </c>
      <c r="J222" s="42" t="inlineStr"/>
      <c r="K222" s="42" t="inlineStr">
        <is>
          <t>Closed</t>
        </is>
      </c>
      <c r="L222" s="42" t="inlineStr">
        <is>
          <t>2026-04-02</t>
        </is>
      </c>
      <c r="M222" s="42" t="inlineStr">
        <is>
          <t>2026-04-02</t>
        </is>
      </c>
      <c r="N222" s="42" t="inlineStr">
        <is>
          <t>Nile Production Support</t>
        </is>
      </c>
      <c r="O222" s="42" t="inlineStr">
        <is>
          <t>Unassigned</t>
        </is>
      </c>
      <c r="P222" s="42" t="inlineStr">
        <is>
          <t>Jani, Shaik</t>
        </is>
      </c>
      <c r="Q222" s="42" t="inlineStr">
        <is>
          <t>Resolved</t>
        </is>
      </c>
      <c r="R222" s="43" t="inlineStr"/>
      <c r="S222" s="42" t="inlineStr"/>
      <c r="T222" s="42" t="inlineStr"/>
      <c r="U222" s="42" t="inlineStr"/>
      <c r="V222" s="54" t="inlineStr">
        <is>
          <t>Configuration Issue</t>
        </is>
      </c>
      <c r="W222" s="42" t="inlineStr"/>
    </row>
    <row r="223">
      <c r="A223" s="39" t="inlineStr">
        <is>
          <t>IT-2966929</t>
        </is>
      </c>
      <c r="B223" s="39" t="inlineStr">
        <is>
          <t>IT-2966929</t>
        </is>
      </c>
      <c r="C223" s="39" t="inlineStr"/>
      <c r="D223" s="40" t="inlineStr">
        <is>
          <t>Geisinger PPM OLA Configuration</t>
        </is>
      </c>
      <c r="E223" s="40" t="inlineStr">
        <is>
          <t>Geisinger PPM OLA Configuration in Prod Ops Application</t>
        </is>
      </c>
      <c r="F223" s="40" t="inlineStr"/>
      <c r="G223" s="40" t="inlineStr">
        <is>
          <t>Configurations updated for OLA setup in Geisinger as per the escalation Plan based on the available feature after latest release</t>
        </is>
      </c>
      <c r="H223" s="39" t="inlineStr">
        <is>
          <t>Other</t>
        </is>
      </c>
      <c r="I223" s="39" t="inlineStr">
        <is>
          <t>Other</t>
        </is>
      </c>
      <c r="J223" s="39" t="inlineStr"/>
      <c r="K223" s="39" t="inlineStr">
        <is>
          <t>Closed</t>
        </is>
      </c>
      <c r="L223" s="39" t="inlineStr">
        <is>
          <t>2026-04-02</t>
        </is>
      </c>
      <c r="M223" s="39" t="inlineStr">
        <is>
          <t>2026-04-02</t>
        </is>
      </c>
      <c r="N223" s="39" t="inlineStr">
        <is>
          <t>Nile Production Support</t>
        </is>
      </c>
      <c r="O223" s="39" t="inlineStr">
        <is>
          <t>Unassigned</t>
        </is>
      </c>
      <c r="P223" s="39" t="inlineStr">
        <is>
          <t>Jani, Shaik</t>
        </is>
      </c>
      <c r="Q223" s="39" t="inlineStr">
        <is>
          <t>Resolved</t>
        </is>
      </c>
      <c r="R223" s="40" t="inlineStr"/>
      <c r="S223" s="39" t="inlineStr"/>
      <c r="T223" s="39" t="inlineStr"/>
      <c r="U223" s="39" t="inlineStr"/>
      <c r="V223" s="45" t="inlineStr">
        <is>
          <t>Configuration Issue</t>
        </is>
      </c>
      <c r="W223" s="39" t="inlineStr"/>
    </row>
    <row r="224">
      <c r="A224" s="42" t="inlineStr">
        <is>
          <t>IT-2966913</t>
        </is>
      </c>
      <c r="B224" s="42" t="inlineStr">
        <is>
          <t>IT-2966913</t>
        </is>
      </c>
      <c r="C224" s="42" t="inlineStr"/>
      <c r="D224" s="43" t="inlineStr">
        <is>
          <t>Devoted Health OLA Configuration</t>
        </is>
      </c>
      <c r="E224" s="43" t="inlineStr">
        <is>
          <t>Devoted Health OLA Configuration in Prod Ops Application. Files : TBA &amp; History.</t>
        </is>
      </c>
      <c r="F224" s="43" t="inlineStr"/>
      <c r="G224" s="43" t="inlineStr">
        <is>
          <t>Devoted Health PPM Configuration Updated.</t>
        </is>
      </c>
      <c r="H224" s="42" t="inlineStr">
        <is>
          <t>Other</t>
        </is>
      </c>
      <c r="I224" s="42" t="inlineStr">
        <is>
          <t>Other</t>
        </is>
      </c>
      <c r="J224" s="42" t="inlineStr"/>
      <c r="K224" s="42" t="inlineStr">
        <is>
          <t>Closed</t>
        </is>
      </c>
      <c r="L224" s="42" t="inlineStr">
        <is>
          <t>2026-04-02</t>
        </is>
      </c>
      <c r="M224" s="42" t="inlineStr">
        <is>
          <t>2026-04-02</t>
        </is>
      </c>
      <c r="N224" s="42" t="inlineStr">
        <is>
          <t>Nile Production Support</t>
        </is>
      </c>
      <c r="O224" s="42" t="inlineStr">
        <is>
          <t>Unassigned</t>
        </is>
      </c>
      <c r="P224" s="42" t="inlineStr">
        <is>
          <t>Jani, Shaik</t>
        </is>
      </c>
      <c r="Q224" s="42" t="inlineStr">
        <is>
          <t>Resolved</t>
        </is>
      </c>
      <c r="R224" s="43" t="inlineStr"/>
      <c r="S224" s="42" t="inlineStr"/>
      <c r="T224" s="42" t="inlineStr"/>
      <c r="U224" s="42" t="inlineStr"/>
      <c r="V224" s="54" t="inlineStr">
        <is>
          <t>Configuration Issue</t>
        </is>
      </c>
      <c r="W224" s="42" t="inlineStr"/>
    </row>
    <row r="225">
      <c r="A225" s="39" t="inlineStr">
        <is>
          <t>IT-2966827</t>
        </is>
      </c>
      <c r="B225" s="39" t="inlineStr">
        <is>
          <t>IT-2966827</t>
        </is>
      </c>
      <c r="C225" s="39" t="inlineStr"/>
      <c r="D225" s="40" t="inlineStr">
        <is>
          <t>dm-kaiser-nw-postpay_exclusion_GDF2_9 Pipeline got failed.</t>
        </is>
      </c>
      <c r="E225" s="40" t="inlineStr">
        <is>
          <t>Pipeline Name: dm-kaiser-nw-postpay_exclusion_GDF2_9 spooler Name : Kaiser_nw_overlap</t>
        </is>
      </c>
      <c r="F225" s="40" t="inlineStr">
        <is>
          <t>There is an issue while copying file from t2 to b2b location. Re-submitted the files and spooled to nile. Pipeline processed successfully.</t>
        </is>
      </c>
      <c r="G225" s="40" t="inlineStr">
        <is>
          <t>There is an issue while copying file from t2 to b2b location. Re-submitted the files and spooled to nile. Pipeline processed successfully.</t>
        </is>
      </c>
      <c r="H225" s="39" t="inlineStr">
        <is>
          <t>Other</t>
        </is>
      </c>
      <c r="I225" s="39" t="inlineStr">
        <is>
          <t>Other</t>
        </is>
      </c>
      <c r="J225" s="39" t="inlineStr"/>
      <c r="K225" s="39" t="inlineStr">
        <is>
          <t>Closed</t>
        </is>
      </c>
      <c r="L225" s="39" t="inlineStr">
        <is>
          <t>2026-04-02</t>
        </is>
      </c>
      <c r="M225" s="39" t="inlineStr">
        <is>
          <t>2026-04-03</t>
        </is>
      </c>
      <c r="N225" s="39" t="inlineStr">
        <is>
          <t>Nile Production Support</t>
        </is>
      </c>
      <c r="O225" s="39" t="inlineStr">
        <is>
          <t>Unassigned</t>
        </is>
      </c>
      <c r="P225" s="39" t="inlineStr">
        <is>
          <t>Aryal, Neerajan</t>
        </is>
      </c>
      <c r="Q225" s="39" t="inlineStr">
        <is>
          <t>Resolved</t>
        </is>
      </c>
      <c r="R225" s="40" t="inlineStr">
        <is>
          <t>There is an issue while copying file from t2 to b2b location. Re-submitted the files and spooled to nile. Pipeline processed successfully.</t>
        </is>
      </c>
      <c r="S225" s="39" t="inlineStr"/>
      <c r="T225" s="39" t="inlineStr"/>
      <c r="U225" s="39" t="inlineStr"/>
      <c r="V225" s="53" t="inlineStr">
        <is>
          <t>Spooler issue</t>
        </is>
      </c>
      <c r="W225" s="39" t="inlineStr"/>
    </row>
    <row r="226">
      <c r="A226" s="42" t="inlineStr">
        <is>
          <t>IT-2966439</t>
        </is>
      </c>
      <c r="B226" s="42" t="inlineStr">
        <is>
          <t>IT-2966439</t>
        </is>
      </c>
      <c r="C226" s="42" t="inlineStr"/>
      <c r="D226" s="43" t="inlineStr">
        <is>
          <t>Aetna Hrp Payment Pipeline got failed</t>
        </is>
      </c>
      <c r="E226" s="43" t="inlineStr">
        <is>
          <t>Aetna Hrp Payment Pipeline got failed.</t>
        </is>
      </c>
      <c r="F226" s="43" t="inlineStr">
        <is>
          <t>we successfully processed the pipeline and closed this ticket.</t>
        </is>
      </c>
      <c r="G226" s="43" t="inlineStr">
        <is>
          <t>we successfully processed the pipeline and closed this ticket.</t>
        </is>
      </c>
      <c r="H226" s="42" t="inlineStr">
        <is>
          <t>Other</t>
        </is>
      </c>
      <c r="I226" s="42" t="inlineStr">
        <is>
          <t>Other</t>
        </is>
      </c>
      <c r="J226" s="42" t="inlineStr"/>
      <c r="K226" s="42" t="inlineStr">
        <is>
          <t>Closed</t>
        </is>
      </c>
      <c r="L226" s="42" t="inlineStr">
        <is>
          <t>2026-04-01</t>
        </is>
      </c>
      <c r="M226" s="42" t="inlineStr">
        <is>
          <t>2026-04-03</t>
        </is>
      </c>
      <c r="N226" s="42" t="inlineStr">
        <is>
          <t>Nile Production Support</t>
        </is>
      </c>
      <c r="O226" s="42" t="inlineStr">
        <is>
          <t>Unassigned</t>
        </is>
      </c>
      <c r="P226" s="42" t="inlineStr">
        <is>
          <t>Aryal, Neerajan</t>
        </is>
      </c>
      <c r="Q226" s="42" t="inlineStr">
        <is>
          <t>Resolved</t>
        </is>
      </c>
      <c r="R226" s="43" t="inlineStr">
        <is>
          <t>we successfully processed the pipeline and closed this ticket.</t>
        </is>
      </c>
      <c r="S226" s="42" t="inlineStr"/>
      <c r="T226" s="42" t="inlineStr"/>
      <c r="U226" s="42" t="inlineStr"/>
      <c r="V226" s="48" t="inlineStr">
        <is>
          <t>Pipeline Schedule</t>
        </is>
      </c>
      <c r="W226" s="42" t="inlineStr"/>
    </row>
    <row r="227">
      <c r="A227" s="39" t="inlineStr">
        <is>
          <t>IT-2966034</t>
        </is>
      </c>
      <c r="B227" s="39" t="inlineStr">
        <is>
          <t>IT-2966034</t>
        </is>
      </c>
      <c r="C227" s="39" t="inlineStr"/>
      <c r="D227" s="40" t="inlineStr">
        <is>
          <t>HMSMD Ophistory file failure dated 04-01-2026</t>
        </is>
      </c>
      <c r="E227" s="40"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40"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9" t="inlineStr"/>
      <c r="I227" s="39" t="inlineStr"/>
      <c r="J227" s="39" t="inlineStr"/>
      <c r="K227" s="39" t="inlineStr">
        <is>
          <t>Closed</t>
        </is>
      </c>
      <c r="L227" s="39" t="inlineStr">
        <is>
          <t>2026-04-01</t>
        </is>
      </c>
      <c r="M227" s="39" t="inlineStr">
        <is>
          <t>2026-05-06</t>
        </is>
      </c>
      <c r="N227" s="39" t="inlineStr">
        <is>
          <t>Nile Production Support</t>
        </is>
      </c>
      <c r="O227" s="39" t="inlineStr">
        <is>
          <t>Unassigned</t>
        </is>
      </c>
      <c r="P227" s="39" t="inlineStr">
        <is>
          <t>Gara, Venkatramana</t>
        </is>
      </c>
      <c r="Q227" s="39" t="inlineStr">
        <is>
          <t>Closed</t>
        </is>
      </c>
      <c r="R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9" t="inlineStr"/>
      <c r="T227" s="39" t="inlineStr"/>
      <c r="U227" s="39" t="inlineStr"/>
      <c r="V227" s="49" t="inlineStr">
        <is>
          <t>File Issue</t>
        </is>
      </c>
      <c r="W227" s="39" t="inlineStr"/>
    </row>
    <row r="228">
      <c r="A228" s="42" t="inlineStr">
        <is>
          <t>IT-2965751</t>
        </is>
      </c>
      <c r="B228" s="42" t="inlineStr">
        <is>
          <t>IT-2965751</t>
        </is>
      </c>
      <c r="C228" s="42" t="inlineStr"/>
      <c r="D228" s="43" t="inlineStr">
        <is>
          <t>Copy files From Nile QC Raw path to Nile Dev Raw path - UHC CSP</t>
        </is>
      </c>
      <c r="E228" s="43"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3" t="inlineStr">
        <is>
          <t>Files Copied</t>
        </is>
      </c>
      <c r="H228" s="42" t="inlineStr">
        <is>
          <t>Other</t>
        </is>
      </c>
      <c r="I228" s="42" t="inlineStr">
        <is>
          <t>Other</t>
        </is>
      </c>
      <c r="J228" s="42" t="inlineStr"/>
      <c r="K228" s="42" t="inlineStr">
        <is>
          <t>Closed</t>
        </is>
      </c>
      <c r="L228" s="42" t="inlineStr">
        <is>
          <t>2026-04-01</t>
        </is>
      </c>
      <c r="M228" s="42" t="inlineStr">
        <is>
          <t>2026-04-01</t>
        </is>
      </c>
      <c r="N228" s="42" t="inlineStr">
        <is>
          <t>Nile Production Support</t>
        </is>
      </c>
      <c r="O228" s="42" t="inlineStr">
        <is>
          <t>Unassigned</t>
        </is>
      </c>
      <c r="P228" s="42" t="inlineStr">
        <is>
          <t>Shivalingu, Naveen</t>
        </is>
      </c>
      <c r="Q228" s="42" t="inlineStr">
        <is>
          <t>Resolved</t>
        </is>
      </c>
      <c r="R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42" t="inlineStr"/>
      <c r="T228" s="42" t="inlineStr"/>
      <c r="U228" s="42" t="inlineStr"/>
      <c r="V228" s="50" t="inlineStr">
        <is>
          <t>Other</t>
        </is>
      </c>
      <c r="W228" s="42" t="inlineStr">
        <is>
          <t>Yes</t>
        </is>
      </c>
    </row>
    <row r="229">
      <c r="A229" s="39" t="inlineStr">
        <is>
          <t>IT-2965581</t>
        </is>
      </c>
      <c r="B229" s="39" t="inlineStr">
        <is>
          <t>IT-2965581</t>
        </is>
      </c>
      <c r="C229" s="39" t="inlineStr"/>
      <c r="D229" s="40" t="inlineStr">
        <is>
          <t>UHC-CIRRUS | Dummy ticket | Testing</t>
        </is>
      </c>
      <c r="E229" s="40" t="inlineStr">
        <is>
          <t>testing 1, 2, 3........</t>
        </is>
      </c>
      <c r="F229" s="40" t="inlineStr">
        <is>
          <t>ticket not needed. testing ticket.</t>
        </is>
      </c>
      <c r="G229" s="40" t="inlineStr"/>
      <c r="H229" s="39" t="inlineStr">
        <is>
          <t>Other</t>
        </is>
      </c>
      <c r="I229" s="39" t="inlineStr">
        <is>
          <t>Other</t>
        </is>
      </c>
      <c r="J229" s="39" t="inlineStr"/>
      <c r="K229" s="39" t="inlineStr">
        <is>
          <t>Cancelled</t>
        </is>
      </c>
      <c r="L229" s="39" t="inlineStr">
        <is>
          <t>2026-04-01</t>
        </is>
      </c>
      <c r="M229" s="39" t="inlineStr">
        <is>
          <t>2026-04-01</t>
        </is>
      </c>
      <c r="N229" s="39" t="inlineStr">
        <is>
          <t>Nile Production Support</t>
        </is>
      </c>
      <c r="O229" s="39" t="inlineStr">
        <is>
          <t>Unassigned</t>
        </is>
      </c>
      <c r="P229" s="39" t="inlineStr">
        <is>
          <t>Enid Ike</t>
        </is>
      </c>
      <c r="Q229" s="39" t="inlineStr">
        <is>
          <t>Cancelled</t>
        </is>
      </c>
      <c r="R229" s="40" t="inlineStr">
        <is>
          <t>ticket not needed. testing ticket.</t>
        </is>
      </c>
      <c r="S229" s="39" t="inlineStr"/>
      <c r="T229" s="39" t="inlineStr"/>
      <c r="U229" s="39" t="inlineStr"/>
      <c r="V229" s="51" t="inlineStr">
        <is>
          <t>Other</t>
        </is>
      </c>
      <c r="W229" s="39" t="inlineStr">
        <is>
          <t>Yes</t>
        </is>
      </c>
    </row>
    <row r="230">
      <c r="A230" s="42" t="inlineStr">
        <is>
          <t>IT-2965550</t>
        </is>
      </c>
      <c r="B230" s="42" t="inlineStr">
        <is>
          <t>IT-2965550</t>
        </is>
      </c>
      <c r="C230" s="42" t="inlineStr"/>
      <c r="D230" s="43" t="inlineStr">
        <is>
          <t>BCBS-ND File With Blank Values (EPIC_CD / USER095 RMS Field)</t>
        </is>
      </c>
      <c r="E230" s="43"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3" t="inlineStr"/>
      <c r="H230" s="42" t="inlineStr"/>
      <c r="I230" s="42" t="inlineStr"/>
      <c r="J230" s="42" t="inlineStr"/>
      <c r="K230" s="42" t="inlineStr">
        <is>
          <t>Cancelled</t>
        </is>
      </c>
      <c r="L230" s="42" t="inlineStr">
        <is>
          <t>2026-04-01</t>
        </is>
      </c>
      <c r="M230" s="42" t="inlineStr">
        <is>
          <t>2026-04-01</t>
        </is>
      </c>
      <c r="N230" s="42" t="inlineStr">
        <is>
          <t>Nile Production Support</t>
        </is>
      </c>
      <c r="O230" s="42" t="inlineStr">
        <is>
          <t>Unassigned</t>
        </is>
      </c>
      <c r="P230" s="42" t="inlineStr">
        <is>
          <t>Spencer, Jae</t>
        </is>
      </c>
      <c r="Q230" s="42" t="inlineStr">
        <is>
          <t>Cancelled</t>
        </is>
      </c>
      <c r="R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42" t="inlineStr"/>
      <c r="T230" s="42" t="inlineStr"/>
      <c r="U230" s="42" t="inlineStr"/>
      <c r="V230" s="60" t="inlineStr">
        <is>
          <t>Schema issue</t>
        </is>
      </c>
      <c r="W230" s="42" t="inlineStr"/>
    </row>
    <row r="231">
      <c r="A231" s="39" t="inlineStr">
        <is>
          <t>IT-2965494</t>
        </is>
      </c>
      <c r="B231" s="39" t="inlineStr">
        <is>
          <t>IT-2965494</t>
        </is>
      </c>
      <c r="C231" s="39" t="inlineStr"/>
      <c r="D231" s="40" t="inlineStr">
        <is>
          <t>Please Update the ICD10PcsOR Table in the GlobalHCCnlyMedicalCodesLibrary Database</t>
        </is>
      </c>
      <c r="E231" s="40"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40"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9" t="inlineStr">
        <is>
          <t>Other</t>
        </is>
      </c>
      <c r="I231" s="39" t="inlineStr">
        <is>
          <t>Other</t>
        </is>
      </c>
      <c r="J231" s="39" t="inlineStr"/>
      <c r="K231" s="39" t="inlineStr">
        <is>
          <t>Closed</t>
        </is>
      </c>
      <c r="L231" s="39" t="inlineStr">
        <is>
          <t>2026-04-01</t>
        </is>
      </c>
      <c r="M231" s="39" t="inlineStr">
        <is>
          <t>2026-04-13</t>
        </is>
      </c>
      <c r="N231" s="39" t="inlineStr">
        <is>
          <t>Nile Production Support</t>
        </is>
      </c>
      <c r="O231" s="39" t="inlineStr">
        <is>
          <t>Unassigned</t>
        </is>
      </c>
      <c r="P231" s="39" t="inlineStr">
        <is>
          <t>Deynarian, Michael</t>
        </is>
      </c>
      <c r="Q231" s="39" t="inlineStr">
        <is>
          <t>Resolved</t>
        </is>
      </c>
      <c r="R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9" t="inlineStr"/>
      <c r="T231" s="39" t="inlineStr"/>
      <c r="U231" s="39" t="inlineStr"/>
      <c r="V231" s="49" t="inlineStr">
        <is>
          <t>File Issue</t>
        </is>
      </c>
      <c r="W231" s="39" t="inlineStr"/>
    </row>
    <row r="232">
      <c r="A232" s="42" t="inlineStr">
        <is>
          <t>IT-2965437</t>
        </is>
      </c>
      <c r="B232" s="42" t="inlineStr">
        <is>
          <t>IT-2965437</t>
        </is>
      </c>
      <c r="C232" s="42" t="inlineStr"/>
      <c r="D232" s="43" t="inlineStr">
        <is>
          <t>Production spooler fail - Wellcare-Wellcare_Actian_PBM_WKY</t>
        </is>
      </c>
      <c r="E232" s="43"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3" t="inlineStr">
        <is>
          <t>File spooled.</t>
        </is>
      </c>
      <c r="H232" s="42" t="inlineStr">
        <is>
          <t>Other</t>
        </is>
      </c>
      <c r="I232" s="42" t="inlineStr">
        <is>
          <t>Other</t>
        </is>
      </c>
      <c r="J232" s="42" t="inlineStr"/>
      <c r="K232" s="42" t="inlineStr">
        <is>
          <t>Closed</t>
        </is>
      </c>
      <c r="L232" s="42" t="inlineStr">
        <is>
          <t>2026-04-01</t>
        </is>
      </c>
      <c r="M232" s="42" t="inlineStr">
        <is>
          <t>2026-04-05</t>
        </is>
      </c>
      <c r="N232" s="42" t="inlineStr">
        <is>
          <t>Nile Production Support</t>
        </is>
      </c>
      <c r="O232" s="42" t="inlineStr">
        <is>
          <t>Unassigned</t>
        </is>
      </c>
      <c r="P232" s="42" t="inlineStr">
        <is>
          <t>Varghese, Shilpa Anna</t>
        </is>
      </c>
      <c r="Q232" s="42" t="inlineStr">
        <is>
          <t>Resolved</t>
        </is>
      </c>
      <c r="R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42" t="inlineStr"/>
      <c r="T232" s="42" t="inlineStr"/>
      <c r="U232" s="42" t="inlineStr"/>
      <c r="V232" s="57" t="inlineStr">
        <is>
          <t>Spooler issue</t>
        </is>
      </c>
      <c r="W232" s="42" t="inlineStr"/>
    </row>
    <row r="233">
      <c r="A233" s="39" t="inlineStr">
        <is>
          <t>IT-2964678</t>
        </is>
      </c>
      <c r="B233" s="39" t="inlineStr">
        <is>
          <t>IT-2964678</t>
        </is>
      </c>
      <c r="C233" s="39" t="inlineStr"/>
      <c r="D233" s="40" t="inlineStr">
        <is>
          <t>help needed on loading aetna hrp claim file</t>
        </is>
      </c>
      <c r="E233" s="40"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40" t="inlineStr">
        <is>
          <t>got the pipeline to run dm-aetna-hrp-actian_migration_claims version 2.2 Claims_Load_Weekly_20260325 contains the data made and published version 1.2</t>
        </is>
      </c>
      <c r="G233" s="40" t="inlineStr">
        <is>
          <t>loaded both files for this pipeline and made sure thy are ingested in the corect table. Rescheduled the pipeline</t>
        </is>
      </c>
      <c r="H233" s="39" t="inlineStr">
        <is>
          <t>Other</t>
        </is>
      </c>
      <c r="I233" s="39" t="inlineStr">
        <is>
          <t>Other</t>
        </is>
      </c>
      <c r="J233" s="39" t="inlineStr"/>
      <c r="K233" s="39" t="inlineStr">
        <is>
          <t>Closed</t>
        </is>
      </c>
      <c r="L233" s="39" t="inlineStr">
        <is>
          <t>2026-04-01</t>
        </is>
      </c>
      <c r="M233" s="39" t="inlineStr">
        <is>
          <t>2026-04-01</t>
        </is>
      </c>
      <c r="N233" s="39" t="inlineStr">
        <is>
          <t>Nile Production Support</t>
        </is>
      </c>
      <c r="O233" s="39" t="inlineStr">
        <is>
          <t>Unassigned</t>
        </is>
      </c>
      <c r="P233" s="39" t="inlineStr">
        <is>
          <t>Tang, Chao</t>
        </is>
      </c>
      <c r="Q233" s="39" t="inlineStr">
        <is>
          <t>Resolved</t>
        </is>
      </c>
      <c r="R233" s="40" t="inlineStr">
        <is>
          <t>got the pipeline to run dm-aetna-hrp-actian_migration_claims version 2.2 Claims_Load_Weekly_20260325 contains the data made and published version 1.2</t>
        </is>
      </c>
      <c r="S233" s="39" t="inlineStr"/>
      <c r="T233" s="39" t="inlineStr"/>
      <c r="U233" s="39" t="inlineStr"/>
      <c r="V233" s="55" t="inlineStr">
        <is>
          <t>File Missing</t>
        </is>
      </c>
      <c r="W233" s="39" t="inlineStr"/>
    </row>
    <row r="234">
      <c r="A234" s="42" t="inlineStr">
        <is>
          <t>IT-2964594</t>
        </is>
      </c>
      <c r="B234" s="42" t="inlineStr">
        <is>
          <t>IT-2964594</t>
        </is>
      </c>
      <c r="C234" s="42" t="inlineStr"/>
      <c r="D234" s="43" t="inlineStr">
        <is>
          <t>HCSCG : History PROF and INSTI files missing : 03/31/2026</t>
        </is>
      </c>
      <c r="E234" s="43" t="inlineStr">
        <is>
          <t>Hi Nile Team, We are missing HCSCG History Professional and Institutional for 03/31 scheduled at 9 PM EST, So please check and provide us an update. hcscg_history_incoming_1 hcscg_ophistory_incoming_1</t>
        </is>
      </c>
      <c r="F234" s="43" t="inlineStr">
        <is>
          <t>Escalate the missing file to the client Email sub: Missing Files: hcsc history 20260331 Claims job delayed, the claims were included in the 04/01 file.</t>
        </is>
      </c>
      <c r="G234" s="43" t="inlineStr"/>
      <c r="H234" s="42" t="inlineStr"/>
      <c r="I234" s="42" t="inlineStr"/>
      <c r="J234" s="42" t="inlineStr"/>
      <c r="K234" s="42" t="inlineStr">
        <is>
          <t>Closed</t>
        </is>
      </c>
      <c r="L234" s="42" t="inlineStr">
        <is>
          <t>2026-04-01</t>
        </is>
      </c>
      <c r="M234" s="42" t="inlineStr">
        <is>
          <t>2026-04-07</t>
        </is>
      </c>
      <c r="N234" s="42" t="inlineStr">
        <is>
          <t>Nile Production Support</t>
        </is>
      </c>
      <c r="O234" s="42" t="inlineStr">
        <is>
          <t>Unassigned</t>
        </is>
      </c>
      <c r="P234" s="42" t="inlineStr">
        <is>
          <t>Shinde, Vijaykumar</t>
        </is>
      </c>
      <c r="Q234" s="42" t="inlineStr">
        <is>
          <t>Closed</t>
        </is>
      </c>
      <c r="R234" s="43" t="inlineStr">
        <is>
          <t>Escalate the missing file to the client Email sub: Missing Files: hcsc history 20260331 Claims job delayed, the claims were included in the 04/01 file.</t>
        </is>
      </c>
      <c r="S234" s="42" t="inlineStr"/>
      <c r="T234" s="42" t="inlineStr"/>
      <c r="U234" s="42" t="inlineStr"/>
      <c r="V234" s="44" t="inlineStr">
        <is>
          <t>File Missing</t>
        </is>
      </c>
      <c r="W234" s="42" t="inlineStr"/>
    </row>
    <row r="235">
      <c r="A235" s="39" t="inlineStr">
        <is>
          <t>IT-2964244</t>
        </is>
      </c>
      <c r="B235" s="39" t="inlineStr">
        <is>
          <t>IT-2964244</t>
        </is>
      </c>
      <c r="C235" s="39" t="inlineStr"/>
      <c r="D235" s="40" t="inlineStr">
        <is>
          <t>copy latest set of files from Prod</t>
        </is>
      </c>
      <c r="E235" s="40" t="inlineStr">
        <is>
          <t>Hi , Could you please help copy latest set of files (20260330) from PROD to DEV. Client feed- 304-aetna-trad_scm</t>
        </is>
      </c>
      <c r="F235" s="40" t="inlineStr">
        <is>
          <t>Hi Malireddy, Krishna Files copied please verify Thanks</t>
        </is>
      </c>
      <c r="G235" s="40" t="inlineStr">
        <is>
          <t>Files copied</t>
        </is>
      </c>
      <c r="H235" s="39" t="inlineStr">
        <is>
          <t>Other</t>
        </is>
      </c>
      <c r="I235" s="39" t="inlineStr">
        <is>
          <t>Other</t>
        </is>
      </c>
      <c r="J235" s="39" t="inlineStr"/>
      <c r="K235" s="39" t="inlineStr">
        <is>
          <t>Closed</t>
        </is>
      </c>
      <c r="L235" s="39" t="inlineStr">
        <is>
          <t>2026-04-01</t>
        </is>
      </c>
      <c r="M235" s="39" t="inlineStr">
        <is>
          <t>2026-04-01</t>
        </is>
      </c>
      <c r="N235" s="39" t="inlineStr">
        <is>
          <t>Nile Production Support</t>
        </is>
      </c>
      <c r="O235" s="39" t="inlineStr">
        <is>
          <t>Unassigned</t>
        </is>
      </c>
      <c r="P235" s="39" t="inlineStr">
        <is>
          <t>Malireddy, Krishna</t>
        </is>
      </c>
      <c r="Q235" s="39" t="inlineStr">
        <is>
          <t>Resolved</t>
        </is>
      </c>
      <c r="R235" s="40" t="inlineStr">
        <is>
          <t>Hi Malireddy, Krishna Files copied please verify Thanks</t>
        </is>
      </c>
      <c r="S235" s="39" t="inlineStr"/>
      <c r="T235" s="39" t="inlineStr"/>
      <c r="U235" s="39" t="inlineStr"/>
      <c r="V235" s="51" t="inlineStr">
        <is>
          <t>Other</t>
        </is>
      </c>
      <c r="W235" s="39" t="inlineStr">
        <is>
          <t>Yes</t>
        </is>
      </c>
    </row>
    <row r="236">
      <c r="A236" s="42" t="inlineStr">
        <is>
          <t>IT-2964225</t>
        </is>
      </c>
      <c r="B236" s="42" t="inlineStr">
        <is>
          <t>IT-2964225</t>
        </is>
      </c>
      <c r="C236" s="42" t="inlineStr"/>
      <c r="D236" s="43" t="inlineStr">
        <is>
          <t>HMSMC :: hmsmc_daily_incoming_1 file failure :: 03/31/2026</t>
        </is>
      </c>
      <c r="E236" s="43" t="inlineStr">
        <is>
          <t>Support Ticket : IT-2963768</t>
        </is>
      </c>
      <c r="F236" s="43" t="inlineStr"/>
      <c r="G236" s="43" t="inlineStr">
        <is>
          <t>we fixed the issue and getting closer confirmation from use. I closed this ticket.</t>
        </is>
      </c>
      <c r="H236" s="42" t="inlineStr">
        <is>
          <t>Other</t>
        </is>
      </c>
      <c r="I236" s="42" t="inlineStr">
        <is>
          <t>Other</t>
        </is>
      </c>
      <c r="J236" s="42" t="inlineStr"/>
      <c r="K236" s="42" t="inlineStr">
        <is>
          <t>Closed</t>
        </is>
      </c>
      <c r="L236" s="42" t="inlineStr">
        <is>
          <t>2026-04-01</t>
        </is>
      </c>
      <c r="M236" s="42" t="inlineStr">
        <is>
          <t>2026-04-01</t>
        </is>
      </c>
      <c r="N236" s="42" t="inlineStr">
        <is>
          <t>Nile Production Support</t>
        </is>
      </c>
      <c r="O236" s="42" t="inlineStr">
        <is>
          <t>Unassigned</t>
        </is>
      </c>
      <c r="P236" s="42" t="inlineStr">
        <is>
          <t>Aryal, Neerajan</t>
        </is>
      </c>
      <c r="Q236" s="42" t="inlineStr">
        <is>
          <t>Resolved</t>
        </is>
      </c>
      <c r="R236" s="43" t="inlineStr"/>
      <c r="S236" s="42" t="inlineStr"/>
      <c r="T236" s="42" t="inlineStr"/>
      <c r="U236" s="42" t="inlineStr"/>
      <c r="V236" s="46" t="inlineStr">
        <is>
          <t>File Issue</t>
        </is>
      </c>
      <c r="W236" s="42" t="inlineStr"/>
    </row>
    <row r="237">
      <c r="A237" s="39" t="inlineStr">
        <is>
          <t>IT-2964129</t>
        </is>
      </c>
      <c r="B237" s="39" t="inlineStr">
        <is>
          <t>IT-2964129</t>
        </is>
      </c>
      <c r="C237" s="39" t="inlineStr"/>
      <c r="D237" s="40" t="inlineStr">
        <is>
          <t>Centene/Fidelis No Touch File</t>
        </is>
      </c>
      <c r="E237" s="40" t="inlineStr">
        <is>
          <t>Pipeline: dm-fideliscare-facets-no_touch_claims_custom_GDF2_8</t>
        </is>
      </c>
      <c r="F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40" t="inlineStr">
        <is>
          <t>Jesse received the lineage.</t>
        </is>
      </c>
      <c r="H237" s="39" t="inlineStr">
        <is>
          <t>Other</t>
        </is>
      </c>
      <c r="I237" s="39" t="inlineStr">
        <is>
          <t>Other</t>
        </is>
      </c>
      <c r="J237" s="39" t="inlineStr"/>
      <c r="K237" s="39" t="inlineStr">
        <is>
          <t>Closed</t>
        </is>
      </c>
      <c r="L237" s="39" t="inlineStr">
        <is>
          <t>2026-04-01</t>
        </is>
      </c>
      <c r="M237" s="39" t="inlineStr">
        <is>
          <t>2026-04-30</t>
        </is>
      </c>
      <c r="N237" s="39" t="inlineStr">
        <is>
          <t>Nile Production Support</t>
        </is>
      </c>
      <c r="O237" s="39" t="inlineStr">
        <is>
          <t>Unassigned</t>
        </is>
      </c>
      <c r="P237" s="39" t="inlineStr">
        <is>
          <t>Limbu, Sajan</t>
        </is>
      </c>
      <c r="Q237" s="39" t="inlineStr">
        <is>
          <t>Resolved</t>
        </is>
      </c>
      <c r="R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9" t="inlineStr"/>
      <c r="T237" s="39" t="inlineStr"/>
      <c r="U237" s="39" t="inlineStr"/>
      <c r="V237" s="55" t="inlineStr">
        <is>
          <t>File Missing</t>
        </is>
      </c>
      <c r="W237" s="39" t="inlineStr"/>
    </row>
    <row r="238">
      <c r="A238" s="42" t="inlineStr">
        <is>
          <t>IT-2963922</t>
        </is>
      </c>
      <c r="B238" s="42" t="inlineStr">
        <is>
          <t>IT-2963922</t>
        </is>
      </c>
      <c r="C238" s="42" t="inlineStr"/>
      <c r="D238" s="43" t="inlineStr">
        <is>
          <t>Update "McdDmeCappedRentalCodes" and “DmeZipcodeClassification” Table in MCL</t>
        </is>
      </c>
      <c r="E238" s="43"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3" t="inlineStr">
        <is>
          <t>Files loaded successfully and user confirmed to close the ticket.</t>
        </is>
      </c>
      <c r="H238" s="42" t="inlineStr">
        <is>
          <t>Other</t>
        </is>
      </c>
      <c r="I238" s="42" t="inlineStr">
        <is>
          <t>Other</t>
        </is>
      </c>
      <c r="J238" s="42" t="inlineStr"/>
      <c r="K238" s="42" t="inlineStr">
        <is>
          <t>Closed</t>
        </is>
      </c>
      <c r="L238" s="42" t="inlineStr">
        <is>
          <t>2026-04-01</t>
        </is>
      </c>
      <c r="M238" s="42" t="inlineStr">
        <is>
          <t>2026-04-07</t>
        </is>
      </c>
      <c r="N238" s="42" t="inlineStr">
        <is>
          <t>Nile Production Support</t>
        </is>
      </c>
      <c r="O238" s="42" t="inlineStr">
        <is>
          <t>Unassigned</t>
        </is>
      </c>
      <c r="P238" s="42" t="inlineStr">
        <is>
          <t>Bhegade, Shweta</t>
        </is>
      </c>
      <c r="Q238" s="42" t="inlineStr">
        <is>
          <t>Resolved</t>
        </is>
      </c>
      <c r="R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42" t="inlineStr"/>
      <c r="T238" s="42" t="inlineStr"/>
      <c r="U238" s="42" t="inlineStr"/>
      <c r="V238" s="50" t="inlineStr">
        <is>
          <t>Other</t>
        </is>
      </c>
      <c r="W238" s="42" t="inlineStr">
        <is>
          <t>Yes</t>
        </is>
      </c>
    </row>
  </sheetData>
  <autoFilter ref="A2:W2"/>
  <mergeCells count="1">
    <mergeCell ref="A1:W1"/>
  </mergeCells>
  <dataValidations count="1">
    <dataValidation sqref="V3:V238"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Configuration Issue</t>
        </is>
      </c>
    </row>
    <row r="2">
      <c r="A2" t="inlineStr">
        <is>
          <t>File Issue</t>
        </is>
      </c>
    </row>
    <row r="3">
      <c r="A3" t="inlineStr">
        <is>
          <t>Spooler issue</t>
        </is>
      </c>
    </row>
    <row r="4">
      <c r="A4" t="inlineStr">
        <is>
          <t>Data Issue</t>
        </is>
      </c>
    </row>
    <row r="5">
      <c r="A5" t="inlineStr">
        <is>
          <t>File Missing</t>
        </is>
      </c>
    </row>
    <row r="6">
      <c r="A6" t="inlineStr">
        <is>
          <t>Unmatched raw data count</t>
        </is>
      </c>
    </row>
    <row r="7">
      <c r="A7" t="inlineStr">
        <is>
          <t>Pipeline Schedule</t>
        </is>
      </c>
    </row>
    <row r="8">
      <c r="A8" t="inlineStr">
        <is>
          <t>DB Issue</t>
        </is>
      </c>
    </row>
    <row r="9">
      <c r="A9" t="inlineStr">
        <is>
          <t>Metric drop</t>
        </is>
      </c>
    </row>
    <row r="10">
      <c r="A10" t="inlineStr">
        <is>
          <t>Schema issue</t>
        </is>
      </c>
    </row>
    <row r="11">
      <c r="A11" t="inlineStr">
        <is>
          <t>Issue Platform</t>
        </is>
      </c>
    </row>
    <row r="12">
      <c r="A12"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6" t="inlineStr">
        <is>
          <t>NILE Pipeline Issue Summary — April 2026</t>
        </is>
      </c>
    </row>
    <row r="2" ht="20" customHeight="1">
      <c r="A2" s="67">
        <f>"Total Tickets: "&amp;TEXT(COUNTIF('Raw Tickets'!$V$3:$V$10000,"&lt;&gt;"),"0")</f>
        <v/>
      </c>
    </row>
    <row r="4" ht="22" customHeight="1">
      <c r="A4" s="11" t="inlineStr">
        <is>
          <t>Category</t>
        </is>
      </c>
      <c r="B4" s="11" t="inlineStr">
        <is>
          <t>Count</t>
        </is>
      </c>
      <c r="C4" s="11" t="inlineStr">
        <is>
          <t>% Share</t>
        </is>
      </c>
      <c r="D4" s="11" t="inlineStr">
        <is>
          <t>vs Last Month</t>
        </is>
      </c>
      <c r="E4" s="11" t="inlineStr">
        <is>
          <t>Color Tag</t>
        </is>
      </c>
    </row>
    <row r="5">
      <c r="A5" s="68" t="inlineStr">
        <is>
          <t>Configuration Issue</t>
        </is>
      </c>
      <c r="B5" s="13">
        <f>COUNTIF('Raw Tickets'!$V$3:$V$10000,"Configuration Issue")</f>
        <v/>
      </c>
      <c r="C5" s="69">
        <f>IF(COUNTIF('Raw Tickets'!$V$3:$V$10000,"&lt;&gt;")&gt;0,COUNTIF('Raw Tickets'!$V$3:$V$10000,"Configuration Issue")/COUNTIF('Raw Tickets'!$V$3:$V$10000,"&lt;&gt;"),0)</f>
        <v/>
      </c>
      <c r="D5" s="15" t="inlineStr">
        <is>
          <t>▲ +7</t>
        </is>
      </c>
      <c r="E5" s="70" t="inlineStr"/>
    </row>
    <row r="6">
      <c r="A6" s="71" t="inlineStr">
        <is>
          <t>File Issue</t>
        </is>
      </c>
      <c r="B6" s="18">
        <f>COUNTIF('Raw Tickets'!$V$3:$V$10000,"File Issue")</f>
        <v/>
      </c>
      <c r="C6" s="72">
        <f>IF(COUNTIF('Raw Tickets'!$V$3:$V$10000,"&lt;&gt;")&gt;0,COUNTIF('Raw Tickets'!$V$3:$V$10000,"File Issue")/COUNTIF('Raw Tickets'!$V$3:$V$10000,"&lt;&gt;"),0)</f>
        <v/>
      </c>
      <c r="D6" s="20" t="inlineStr">
        <is>
          <t>▲ +4</t>
        </is>
      </c>
      <c r="E6" s="73" t="inlineStr"/>
    </row>
    <row r="7">
      <c r="A7" s="68" t="inlineStr">
        <is>
          <t>Spooler issue</t>
        </is>
      </c>
      <c r="B7" s="13">
        <f>COUNTIF('Raw Tickets'!$V$3:$V$10000,"Spooler issue")</f>
        <v/>
      </c>
      <c r="C7" s="69">
        <f>IF(COUNTIF('Raw Tickets'!$V$3:$V$10000,"&lt;&gt;")&gt;0,COUNTIF('Raw Tickets'!$V$3:$V$10000,"Spooler issue")/COUNTIF('Raw Tickets'!$V$3:$V$10000,"&lt;&gt;"),0)</f>
        <v/>
      </c>
      <c r="D7" s="15" t="inlineStr">
        <is>
          <t>▲ +8</t>
        </is>
      </c>
      <c r="E7" s="74" t="inlineStr"/>
    </row>
    <row r="8">
      <c r="A8" s="71" t="inlineStr">
        <is>
          <t>Data Issue</t>
        </is>
      </c>
      <c r="B8" s="18">
        <f>COUNTIF('Raw Tickets'!$V$3:$V$10000,"Data Issue")</f>
        <v/>
      </c>
      <c r="C8" s="72">
        <f>IF(COUNTIF('Raw Tickets'!$V$3:$V$10000,"&lt;&gt;")&gt;0,COUNTIF('Raw Tickets'!$V$3:$V$10000,"Data Issue")/COUNTIF('Raw Tickets'!$V$3:$V$10000,"&lt;&gt;"),0)</f>
        <v/>
      </c>
      <c r="D8" s="20" t="inlineStr">
        <is>
          <t>▲ +4</t>
        </is>
      </c>
      <c r="E8" s="75" t="inlineStr"/>
    </row>
    <row r="9">
      <c r="A9" s="68" t="inlineStr">
        <is>
          <t>File Missing</t>
        </is>
      </c>
      <c r="B9" s="13">
        <f>COUNTIF('Raw Tickets'!$V$3:$V$10000,"File Missing")</f>
        <v/>
      </c>
      <c r="C9" s="69">
        <f>IF(COUNTIF('Raw Tickets'!$V$3:$V$10000,"&lt;&gt;")&gt;0,COUNTIF('Raw Tickets'!$V$3:$V$10000,"File Missing")/COUNTIF('Raw Tickets'!$V$3:$V$10000,"&lt;&gt;"),0)</f>
        <v/>
      </c>
      <c r="D9" s="15" t="inlineStr">
        <is>
          <t>▲ +2</t>
        </is>
      </c>
      <c r="E9" s="76" t="inlineStr"/>
    </row>
    <row r="10">
      <c r="A10" s="71" t="inlineStr">
        <is>
          <t>Unmatched raw data count</t>
        </is>
      </c>
      <c r="B10" s="18">
        <f>COUNTIF('Raw Tickets'!$V$3:$V$10000,"Unmatched raw data count")</f>
        <v/>
      </c>
      <c r="C10" s="72">
        <f>IF(COUNTIF('Raw Tickets'!$V$3:$V$10000,"&lt;&gt;")&gt;0,COUNTIF('Raw Tickets'!$V$3:$V$10000,"Unmatched raw data count")/COUNTIF('Raw Tickets'!$V$3:$V$10000,"&lt;&gt;"),0)</f>
        <v/>
      </c>
      <c r="D10" s="77" t="inlineStr">
        <is>
          <t>— same</t>
        </is>
      </c>
      <c r="E10" s="78" t="inlineStr"/>
    </row>
    <row r="11">
      <c r="A11" s="68" t="inlineStr">
        <is>
          <t>Pipeline Schedule</t>
        </is>
      </c>
      <c r="B11" s="13">
        <f>COUNTIF('Raw Tickets'!$V$3:$V$10000,"Pipeline Schedule")</f>
        <v/>
      </c>
      <c r="C11" s="69">
        <f>IF(COUNTIF('Raw Tickets'!$V$3:$V$10000,"&lt;&gt;")&gt;0,COUNTIF('Raw Tickets'!$V$3:$V$10000,"Pipeline Schedule")/COUNTIF('Raw Tickets'!$V$3:$V$10000,"&lt;&gt;"),0)</f>
        <v/>
      </c>
      <c r="D11" s="15" t="inlineStr">
        <is>
          <t>▲ +4</t>
        </is>
      </c>
      <c r="E11" s="79" t="inlineStr"/>
    </row>
    <row r="12">
      <c r="A12" s="71" t="inlineStr">
        <is>
          <t>DB Issue</t>
        </is>
      </c>
      <c r="B12" s="18">
        <f>COUNTIF('Raw Tickets'!$V$3:$V$10000,"DB Issue")</f>
        <v/>
      </c>
      <c r="C12" s="72">
        <f>IF(COUNTIF('Raw Tickets'!$V$3:$V$10000,"&lt;&gt;")&gt;0,COUNTIF('Raw Tickets'!$V$3:$V$10000,"DB Issue")/COUNTIF('Raw Tickets'!$V$3:$V$10000,"&lt;&gt;"),0)</f>
        <v/>
      </c>
      <c r="D12" s="20" t="inlineStr">
        <is>
          <t>▲ +1</t>
        </is>
      </c>
      <c r="E12" s="80" t="inlineStr"/>
    </row>
    <row r="13">
      <c r="A13" s="68" t="inlineStr">
        <is>
          <t>Metric drop</t>
        </is>
      </c>
      <c r="B13" s="13">
        <f>COUNTIF('Raw Tickets'!$V$3:$V$10000,"Metric drop")</f>
        <v/>
      </c>
      <c r="C13" s="69">
        <f>IF(COUNTIF('Raw Tickets'!$V$3:$V$10000,"&lt;&gt;")&gt;0,COUNTIF('Raw Tickets'!$V$3:$V$10000,"Metric drop")/COUNTIF('Raw Tickets'!$V$3:$V$10000,"&lt;&gt;"),0)</f>
        <v/>
      </c>
      <c r="D13" s="15" t="inlineStr">
        <is>
          <t>▲ +2</t>
        </is>
      </c>
      <c r="E13" s="81" t="inlineStr"/>
    </row>
    <row r="14">
      <c r="A14" s="71" t="inlineStr">
        <is>
          <t>Schema issue</t>
        </is>
      </c>
      <c r="B14" s="18">
        <f>COUNTIF('Raw Tickets'!$V$3:$V$10000,"Schema issue")</f>
        <v/>
      </c>
      <c r="C14" s="72">
        <f>IF(COUNTIF('Raw Tickets'!$V$3:$V$10000,"&lt;&gt;")&gt;0,COUNTIF('Raw Tickets'!$V$3:$V$10000,"Schema issue")/COUNTIF('Raw Tickets'!$V$3:$V$10000,"&lt;&gt;"),0)</f>
        <v/>
      </c>
      <c r="D14" s="20" t="inlineStr">
        <is>
          <t>▲ +1</t>
        </is>
      </c>
      <c r="E14" s="82" t="inlineStr"/>
    </row>
    <row r="15">
      <c r="A15" s="68" t="inlineStr">
        <is>
          <t>Issue Platform</t>
        </is>
      </c>
      <c r="B15" s="13">
        <f>COUNTIF('Raw Tickets'!$V$3:$V$10000,"Issue Platform")</f>
        <v/>
      </c>
      <c r="C15" s="69">
        <f>IF(COUNTIF('Raw Tickets'!$V$3:$V$10000,"&lt;&gt;")&gt;0,COUNTIF('Raw Tickets'!$V$3:$V$10000,"Issue Platform")/COUNTIF('Raw Tickets'!$V$3:$V$10000,"&lt;&gt;"),0)</f>
        <v/>
      </c>
      <c r="D15" s="31" t="inlineStr">
        <is>
          <t>▼ -1</t>
        </is>
      </c>
      <c r="E15" s="83" t="inlineStr"/>
    </row>
    <row r="16">
      <c r="A16" s="71" t="inlineStr">
        <is>
          <t>Other</t>
        </is>
      </c>
      <c r="B16" s="18">
        <f>COUNTIF('Raw Tickets'!$V$3:$V$10000,"Other")</f>
        <v/>
      </c>
      <c r="C16" s="72">
        <f>IF(COUNTIF('Raw Tickets'!$V$3:$V$10000,"&lt;&gt;")&gt;0,COUNTIF('Raw Tickets'!$V$3:$V$10000,"Other")/COUNTIF('Raw Tickets'!$V$3:$V$10000,"&lt;&gt;"),0)</f>
        <v/>
      </c>
      <c r="D16" s="33" t="inlineStr">
        <is>
          <t>▼ -32</t>
        </is>
      </c>
      <c r="E16" s="84" t="inlineStr"/>
    </row>
    <row r="17">
      <c r="A17" s="85" t="inlineStr">
        <is>
          <t>Monthly Total</t>
        </is>
      </c>
      <c r="B17" s="13">
        <f>SUM(B5:B16)</f>
        <v/>
      </c>
      <c r="C17" s="86" t="inlineStr">
        <is>
          <t>100%</t>
        </is>
      </c>
      <c r="D17" s="87" t="inlineStr"/>
      <c r="E17" s="87" t="inlineStr"/>
    </row>
  </sheetData>
  <mergeCells count="1">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73"/>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88" t="inlineStr">
        <is>
          <t>Needs Review — 68 uncategorized tickets</t>
        </is>
      </c>
    </row>
    <row r="2" ht="18" customHeight="1">
      <c r="A2" s="89">
        <f>"Needs Review count: "&amp;COUNTIF('Raw Tickets'!$V$3:$V$10000,"Other")&amp;" — Change category in Raw Tickets tab, then re-run to refresh this list"</f>
        <v/>
      </c>
    </row>
    <row r="3" ht="20" customHeight="1">
      <c r="A3" s="90" t="inlineStr">
        <is>
          <t>Key</t>
        </is>
      </c>
      <c r="B3" s="90" t="inlineStr">
        <is>
          <t>Summary</t>
        </is>
      </c>
      <c r="C3" s="90" t="inlineStr">
        <is>
          <t>Description</t>
        </is>
      </c>
      <c r="D3" s="90" t="inlineStr">
        <is>
          <t>Comment</t>
        </is>
      </c>
      <c r="E3" s="90" t="inlineStr">
        <is>
          <t>Close Notes</t>
        </is>
      </c>
      <c r="F3" s="90" t="inlineStr">
        <is>
          <t>Status</t>
        </is>
      </c>
      <c r="G3" s="90" t="inlineStr">
        <is>
          <t>Created</t>
        </is>
      </c>
    </row>
    <row r="4" ht="40" customHeight="1">
      <c r="A4" s="91" t="inlineStr">
        <is>
          <t>IT-3021831</t>
        </is>
      </c>
      <c r="B4" s="92" t="inlineStr">
        <is>
          <t>CLONE - Peer Review for Aetna-Trad-SCM BMC pipeline Optimization</t>
        </is>
      </c>
      <c r="C4" s="92"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4" s="92" t="inlineStr"/>
      <c r="E4" s="92" t="inlineStr">
        <is>
          <t>Since it's a direct bmc pipeline it doesn't require any changes.</t>
        </is>
      </c>
      <c r="F4" s="91" t="inlineStr">
        <is>
          <t>Closed</t>
        </is>
      </c>
      <c r="G4" s="91" t="inlineStr">
        <is>
          <t>2026-04-29</t>
        </is>
      </c>
    </row>
    <row r="5" ht="40" customHeight="1">
      <c r="A5" s="93" t="inlineStr">
        <is>
          <t>IT-3021830</t>
        </is>
      </c>
      <c r="B5" s="94" t="inlineStr">
        <is>
          <t>[BCBS_MI]-Update prechecks for BMC and publish all the child pipelines.</t>
        </is>
      </c>
      <c r="C5" s="94" t="inlineStr">
        <is>
          <t>Update precheck with pipeline version as latest and remove all the unnecessary parameters from the pipeline. Publish all the child pipelines and modify subscribe BMC pipeline versions to latest.</t>
        </is>
      </c>
      <c r="D5" s="94" t="inlineStr">
        <is>
          <t>BMC Pipeline prechecks conditions for pipeline version is updated to latest. Published and scheduled the latest BMC version pipeline. FYI: trigger_bmc_workflow-bcbs_mi_bcbs_mi_monthly Version: V1.6</t>
        </is>
      </c>
      <c r="E5" s="94" t="inlineStr">
        <is>
          <t>BMC Pipeline prechecks conditions for pipeline version is updated to latest. Published and scheduled the latest BMC version pipeline. FYI: trigger_bmc_workflow-bcbs_mi_bcbs_mi_monthly Version: V1.6</t>
        </is>
      </c>
      <c r="F5" s="93" t="inlineStr">
        <is>
          <t>Closed</t>
        </is>
      </c>
      <c r="G5" s="93" t="inlineStr">
        <is>
          <t>2026-04-29</t>
        </is>
      </c>
    </row>
    <row r="6" ht="40" customHeight="1">
      <c r="A6" s="91" t="inlineStr">
        <is>
          <t>IT-3020610</t>
        </is>
      </c>
      <c r="B6" s="92" t="inlineStr">
        <is>
          <t>Update the tracker with the newly deployed History Lean Ingestion pipelines for DevotedHealth that are now live in production.</t>
        </is>
      </c>
      <c r="C6" s="92"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D6" s="92" t="inlineStr"/>
      <c r="E6" s="92" t="inlineStr">
        <is>
          <t>Details recorded accordingly.</t>
        </is>
      </c>
      <c r="F6" s="91" t="inlineStr">
        <is>
          <t>Closed</t>
        </is>
      </c>
      <c r="G6" s="91" t="inlineStr">
        <is>
          <t>2026-04-29</t>
        </is>
      </c>
    </row>
    <row r="7" ht="40" customHeight="1">
      <c r="A7" s="93" t="inlineStr">
        <is>
          <t>IT-3019608</t>
        </is>
      </c>
      <c r="B7" s="94" t="inlineStr">
        <is>
          <t>Pipeline: dm-amerihealth-results-actian_migration_claims_detail | Data Date: 2026/04/28 | Failure</t>
        </is>
      </c>
      <c r="C7" s="94"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D7" s="94" t="inlineStr">
        <is>
          <t>Hi Enid Ike pipeline completed Thanks Satish Devatha</t>
        </is>
      </c>
      <c r="E7" s="94" t="inlineStr">
        <is>
          <t>pipeline completed</t>
        </is>
      </c>
      <c r="F7" s="93" t="inlineStr">
        <is>
          <t>Closed</t>
        </is>
      </c>
      <c r="G7" s="93" t="inlineStr">
        <is>
          <t>2026-04-28</t>
        </is>
      </c>
    </row>
    <row r="8" ht="40" customHeight="1">
      <c r="A8" s="91" t="inlineStr">
        <is>
          <t>IT-3018019</t>
        </is>
      </c>
      <c r="B8" s="92" t="inlineStr">
        <is>
          <t>Optumcare RCCV Professional Prod Transition Documents</t>
        </is>
      </c>
      <c r="C8" s="92"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D8" s="92" t="inlineStr"/>
      <c r="E8" s="92" t="inlineStr">
        <is>
          <t>Documents reviewed, Details reviewed and recorded and transition scheduled for today.</t>
        </is>
      </c>
      <c r="F8" s="91" t="inlineStr">
        <is>
          <t>Closed</t>
        </is>
      </c>
      <c r="G8" s="91" t="inlineStr">
        <is>
          <t>2026-04-28</t>
        </is>
      </c>
    </row>
    <row r="9" ht="40" customHeight="1">
      <c r="A9" s="93" t="inlineStr">
        <is>
          <t>IT-3017668</t>
        </is>
      </c>
      <c r="B9" s="94" t="inlineStr">
        <is>
          <t>UHC PNICE Transition</t>
        </is>
      </c>
      <c r="C9" s="94" t="inlineStr">
        <is>
          <t>UHC PNICE Transition</t>
        </is>
      </c>
      <c r="D9" s="94" t="inlineStr"/>
      <c r="E9" s="94" t="inlineStr">
        <is>
          <t>Details recorded after reviewing the documents.</t>
        </is>
      </c>
      <c r="F9" s="93" t="inlineStr">
        <is>
          <t>Closed</t>
        </is>
      </c>
      <c r="G9" s="93" t="inlineStr">
        <is>
          <t>2026-04-28</t>
        </is>
      </c>
    </row>
    <row r="10" ht="40" customHeight="1">
      <c r="A10" s="91" t="inlineStr">
        <is>
          <t>IT-3017655</t>
        </is>
      </c>
      <c r="B10" s="92" t="inlineStr">
        <is>
          <t>Production Transition - Tufts-Diamond</t>
        </is>
      </c>
      <c r="C10" s="92" t="inlineStr">
        <is>
          <t>Production Transition - Tufts-Diamond RCCV 2 pipelines Inpatient &amp; Iphistory</t>
        </is>
      </c>
      <c r="D10" s="92" t="inlineStr">
        <is>
          <t>Waiting for the transition. also, the feedback fixes.</t>
        </is>
      </c>
      <c r="E10" s="92" t="inlineStr"/>
      <c r="F10" s="91" t="inlineStr">
        <is>
          <t>On Hold</t>
        </is>
      </c>
      <c r="G10" s="91" t="inlineStr">
        <is>
          <t>2026-04-28</t>
        </is>
      </c>
    </row>
    <row r="11" ht="40" customHeight="1">
      <c r="A11" s="93" t="inlineStr">
        <is>
          <t>IT-3017053</t>
        </is>
      </c>
      <c r="B11" s="94" t="inlineStr">
        <is>
          <t>Request to add EDM's distro list to NILE's email notifications</t>
        </is>
      </c>
      <c r="C11" s="94" t="inlineStr">
        <is>
          <t>Hi Nile Prod Support team. Please add EDM’s distribution list to NILE’s ingestion report email notifications (see sample attached). EDM’s distribution list for each client is also attached.</t>
        </is>
      </c>
      <c r="D11" s="94"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E11" s="94" t="inlineStr"/>
      <c r="F11" s="93" t="inlineStr">
        <is>
          <t>On Hold</t>
        </is>
      </c>
      <c r="G11" s="93" t="inlineStr">
        <is>
          <t>2026-04-27</t>
        </is>
      </c>
    </row>
    <row r="12" ht="40" customHeight="1">
      <c r="A12" s="91" t="inlineStr">
        <is>
          <t>IT-3016920</t>
        </is>
      </c>
      <c r="B12" s="92" t="inlineStr">
        <is>
          <t>Copy files From Nile Prod Raw path to Nile QC Raw path - Aetna Trad</t>
        </is>
      </c>
      <c r="C12" s="92"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2" s="92" t="inlineStr">
        <is>
          <t>Files Copied</t>
        </is>
      </c>
      <c r="E12" s="92" t="inlineStr">
        <is>
          <t>Files Copied</t>
        </is>
      </c>
      <c r="F12" s="91" t="inlineStr">
        <is>
          <t>Closed</t>
        </is>
      </c>
      <c r="G12" s="91" t="inlineStr">
        <is>
          <t>2026-04-27</t>
        </is>
      </c>
    </row>
    <row r="13" ht="40" customHeight="1">
      <c r="A13" s="93" t="inlineStr">
        <is>
          <t>IT-3016913</t>
        </is>
      </c>
      <c r="B13" s="94" t="inlineStr">
        <is>
          <t>Copy files From Nile Prod Raw path to Nile QC Raw path - Aetna Trad</t>
        </is>
      </c>
      <c r="C13" s="94"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3" s="94" t="inlineStr">
        <is>
          <t>Files are already copied</t>
        </is>
      </c>
      <c r="E13" s="94" t="inlineStr">
        <is>
          <t>Files are already copied</t>
        </is>
      </c>
      <c r="F13" s="93" t="inlineStr">
        <is>
          <t>Closed</t>
        </is>
      </c>
      <c r="G13" s="93" t="inlineStr">
        <is>
          <t>2026-04-27</t>
        </is>
      </c>
    </row>
    <row r="14" ht="40" customHeight="1">
      <c r="A14" s="91" t="inlineStr">
        <is>
          <t>IT-3016008</t>
        </is>
      </c>
      <c r="B14" s="92" t="inlineStr">
        <is>
          <t>Requesting information for Cigna Gross ID amount dataset</t>
        </is>
      </c>
      <c r="C14" s="92" t="inlineStr">
        <is>
          <t>We are looking to learn information on Cigna Gross ID amount dataset as it relates to if it is provided to Nile and if so how and where it can accessed.</t>
        </is>
      </c>
      <c r="D14" s="92" t="inlineStr"/>
      <c r="E14" s="92" t="inlineStr"/>
      <c r="F14" s="91" t="inlineStr">
        <is>
          <t>In Progress (HD1)</t>
        </is>
      </c>
      <c r="G14" s="91" t="inlineStr">
        <is>
          <t>2026-04-27</t>
        </is>
      </c>
    </row>
    <row r="15" ht="40" customHeight="1">
      <c r="A15" s="93" t="inlineStr">
        <is>
          <t>IT-3012722</t>
        </is>
      </c>
      <c r="B15" s="94" t="inlineStr">
        <is>
          <t>rccv-cignamedicare-facets-tba_institutional_claims_custom_GDF2_5_CDF2_5 for May 2025 ingestion..</t>
        </is>
      </c>
      <c r="C15" s="94"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D15" s="94" t="inlineStr">
        <is>
          <t>Hi Suryani, Melly Thanks for running latest version v1.9 pipeline Thanks Satish Devatha</t>
        </is>
      </c>
      <c r="E15" s="94" t="inlineStr"/>
      <c r="F15" s="93" t="inlineStr">
        <is>
          <t>In Progress (HD1)</t>
        </is>
      </c>
      <c r="G15" s="93" t="inlineStr">
        <is>
          <t>2026-04-24</t>
        </is>
      </c>
    </row>
    <row r="16" ht="40" customHeight="1">
      <c r="A16" s="91" t="inlineStr">
        <is>
          <t>IT-3011677</t>
        </is>
      </c>
      <c r="B16" s="92" t="inlineStr">
        <is>
          <t>Please confirm if RCA Engineering is receiving and ingesting the SIU Weekly Provider Report Geisinger sends us via SFTP that is an exclusion file for our teams.</t>
        </is>
      </c>
      <c r="C16" s="92"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D16" s="92"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E16" s="92" t="inlineStr">
        <is>
          <t>Provided the requestor's analysis in the comments which included comparing 4 SFTP files against files received from email</t>
        </is>
      </c>
      <c r="F16" s="91" t="inlineStr">
        <is>
          <t>Closed</t>
        </is>
      </c>
      <c r="G16" s="91" t="inlineStr">
        <is>
          <t>2026-04-24</t>
        </is>
      </c>
    </row>
    <row r="17" ht="40" customHeight="1">
      <c r="A17" s="93" t="inlineStr">
        <is>
          <t>IT-3010303</t>
        </is>
      </c>
      <c r="B17" s="94" t="inlineStr">
        <is>
          <t>HCSC_BackFill_Set_2_files process.</t>
        </is>
      </c>
      <c r="C17" s="94" t="inlineStr"/>
      <c r="D17" s="94"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E17" s="94" t="inlineStr">
        <is>
          <t>Second set of files proceed from the Nile side.</t>
        </is>
      </c>
      <c r="F17" s="93" t="inlineStr">
        <is>
          <t>Closed</t>
        </is>
      </c>
      <c r="G17" s="93" t="inlineStr">
        <is>
          <t>2026-04-24</t>
        </is>
      </c>
    </row>
    <row r="18" ht="40" customHeight="1">
      <c r="A18" s="91" t="inlineStr">
        <is>
          <t>IT-3009815</t>
        </is>
      </c>
      <c r="B18" s="92" t="inlineStr">
        <is>
          <t>Centene PCCV MI MCD Expansion Prod Transition Documents Review</t>
        </is>
      </c>
      <c r="C18" s="92" t="inlineStr">
        <is>
          <t>Please review the prod transition checklist documents for Centene PCCV MI MCD Expansion and let us know if any changes are needed. Creating this ticket as a placeholder. Will update ticket with document links once complete.</t>
        </is>
      </c>
      <c r="D18" s="92" t="inlineStr">
        <is>
          <t>Awaiting documents.</t>
        </is>
      </c>
      <c r="E18" s="92" t="inlineStr"/>
      <c r="F18" s="91" t="inlineStr">
        <is>
          <t>On Hold</t>
        </is>
      </c>
      <c r="G18" s="91" t="inlineStr">
        <is>
          <t>2026-04-23</t>
        </is>
      </c>
    </row>
    <row r="19" ht="40" customHeight="1">
      <c r="A19" s="93" t="inlineStr">
        <is>
          <t>IT-3009664</t>
        </is>
      </c>
      <c r="B19" s="94" t="inlineStr">
        <is>
          <t>Clarification on Premera History Files for Data Date 2026/04/06</t>
        </is>
      </c>
      <c r="C19" s="94"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D19" s="94"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E19" s="94" t="inlineStr">
        <is>
          <t>Replacement from client on 5/1/2026 processed successfully</t>
        </is>
      </c>
      <c r="F19" s="93" t="inlineStr">
        <is>
          <t>Closed</t>
        </is>
      </c>
      <c r="G19" s="93" t="inlineStr">
        <is>
          <t>2026-04-23</t>
        </is>
      </c>
    </row>
    <row r="20" ht="40" customHeight="1">
      <c r="A20" s="91" t="inlineStr">
        <is>
          <t>IT-3008305</t>
        </is>
      </c>
      <c r="B20" s="92" t="inlineStr">
        <is>
          <t>Update the tracker with the newly deployed History and TBA Lean Ingestion pipelines for Oscar-Homegrown that are now live in production.</t>
        </is>
      </c>
      <c r="C20" s="92"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D20" s="92" t="inlineStr"/>
      <c r="E20" s="92" t="inlineStr">
        <is>
          <t>Details recorded accordingly.</t>
        </is>
      </c>
      <c r="F20" s="91" t="inlineStr">
        <is>
          <t>Closed</t>
        </is>
      </c>
      <c r="G20" s="91" t="inlineStr">
        <is>
          <t>2026-04-23</t>
        </is>
      </c>
    </row>
    <row r="21" ht="40" customHeight="1">
      <c r="A21" s="93" t="inlineStr">
        <is>
          <t>IT-3008084</t>
        </is>
      </c>
      <c r="B21" s="94" t="inlineStr">
        <is>
          <t>Peer Review for Aetna-Trad-SCM BMC pipeline Optimization</t>
        </is>
      </c>
      <c r="C21" s="94"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21" s="94" t="inlineStr">
        <is>
          <t>Hi Kamsetty, Sravani , Verified that all child pipelines have been published successfully.</t>
        </is>
      </c>
      <c r="E21" s="94" t="inlineStr">
        <is>
          <t>Verified that all child pipelines are published, ensuring the latest versions are used when running the BMC pipelines.</t>
        </is>
      </c>
      <c r="F21" s="93" t="inlineStr">
        <is>
          <t>Closed</t>
        </is>
      </c>
      <c r="G21" s="93" t="inlineStr">
        <is>
          <t>2026-04-23</t>
        </is>
      </c>
    </row>
    <row r="22" ht="40" customHeight="1">
      <c r="A22" s="91" t="inlineStr">
        <is>
          <t>IT-3007910</t>
        </is>
      </c>
      <c r="B22" s="92" t="inlineStr">
        <is>
          <t>WellCare RCA ARK Client Transition.</t>
        </is>
      </c>
      <c r="C22" s="92" t="inlineStr">
        <is>
          <t>WellCare RCA ARK Client Transition.</t>
        </is>
      </c>
      <c r="D22" s="92" t="inlineStr"/>
      <c r="E22" s="92" t="inlineStr">
        <is>
          <t>Transition Completed successfully.</t>
        </is>
      </c>
      <c r="F22" s="91" t="inlineStr">
        <is>
          <t>Closed</t>
        </is>
      </c>
      <c r="G22" s="91" t="inlineStr">
        <is>
          <t>2026-04-23</t>
        </is>
      </c>
    </row>
    <row r="23" ht="40" customHeight="1">
      <c r="A23" s="93" t="inlineStr">
        <is>
          <t>IT-3005937</t>
        </is>
      </c>
      <c r="B23" s="94" t="inlineStr">
        <is>
          <t>Please add these two pipelines in the tracking sheet..</t>
        </is>
      </c>
      <c r="C23" s="94"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D23" s="94" t="inlineStr"/>
      <c r="E23" s="94" t="inlineStr">
        <is>
          <t>Updated the details in tracker.</t>
        </is>
      </c>
      <c r="F23" s="93" t="inlineStr">
        <is>
          <t>Closed</t>
        </is>
      </c>
      <c r="G23" s="93" t="inlineStr">
        <is>
          <t>2026-04-22</t>
        </is>
      </c>
    </row>
    <row r="24" ht="40" customHeight="1">
      <c r="A24" s="91" t="inlineStr">
        <is>
          <t>IT-3005392</t>
        </is>
      </c>
      <c r="B24" s="92" t="inlineStr">
        <is>
          <t>HCSC_BackFill_Set_1_files process.</t>
        </is>
      </c>
      <c r="C24" s="92" t="inlineStr"/>
      <c r="D24" s="92" t="inlineStr">
        <is>
          <t>we already proceed the set1 files and completed.</t>
        </is>
      </c>
      <c r="E24" s="92" t="inlineStr">
        <is>
          <t>we got the confirmation from the user and closed this ticket.</t>
        </is>
      </c>
      <c r="F24" s="91" t="inlineStr">
        <is>
          <t>Closed</t>
        </is>
      </c>
      <c r="G24" s="91" t="inlineStr">
        <is>
          <t>2026-04-22</t>
        </is>
      </c>
    </row>
    <row r="25" ht="40" customHeight="1">
      <c r="A25" s="93" t="inlineStr">
        <is>
          <t>IT-3005387</t>
        </is>
      </c>
      <c r="B25" s="94" t="inlineStr">
        <is>
          <t>[harvardpilgrim - ohi]-Update prechecks for BMC and publish all the child pipelines.</t>
        </is>
      </c>
      <c r="C25" s="94" t="inlineStr">
        <is>
          <t>Update precheck with pipeline version as latest and remove all the unnecessary parameters from the pipeline. Publish all the child pipelines and modify subscribe BMC pipeline versions to latest.</t>
        </is>
      </c>
      <c r="D25" s="94" t="inlineStr">
        <is>
          <t>I have implemented the BMC optimization for the clients assigned to me.</t>
        </is>
      </c>
      <c r="E25" s="94" t="inlineStr">
        <is>
          <t>I have implemented the BMC optimization for the clients assigned to me.</t>
        </is>
      </c>
      <c r="F25" s="93" t="inlineStr">
        <is>
          <t>Closed</t>
        </is>
      </c>
      <c r="G25" s="93" t="inlineStr">
        <is>
          <t>2026-04-22</t>
        </is>
      </c>
    </row>
    <row r="26" ht="40" customHeight="1">
      <c r="A26" s="91" t="inlineStr">
        <is>
          <t>IT-3004277</t>
        </is>
      </c>
      <c r="B26" s="92" t="inlineStr">
        <is>
          <t>Copy data from QC hdfs to Dev hdfs - Nile</t>
        </is>
      </c>
      <c r="C26" s="92"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D26" s="92"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E26" s="92" t="inlineStr">
        <is>
          <t>Data Copied</t>
        </is>
      </c>
      <c r="F26" s="91" t="inlineStr">
        <is>
          <t>Closed</t>
        </is>
      </c>
      <c r="G26" s="91" t="inlineStr">
        <is>
          <t>2026-04-21</t>
        </is>
      </c>
    </row>
    <row r="27" ht="40" customHeight="1">
      <c r="A27" s="93" t="inlineStr">
        <is>
          <t>IT-3004101</t>
        </is>
      </c>
      <c r="B27" s="94" t="inlineStr">
        <is>
          <t>Error when running Humana BMC pipeline: trigger_bmc_workflow_CHC_HUMANA_MTH_DATALOADMEMBER_NILE_monthly</t>
        </is>
      </c>
      <c r="C27" s="94" t="inlineStr">
        <is>
          <t>Hi Nile PS Triage Team, When I press the execute button for the pipeline above, it immediately throws an error (snapshot). Would you mind taking a look? Thank you melly</t>
        </is>
      </c>
      <c r="D27" s="94"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E27" s="94" t="inlineStr">
        <is>
          <t>Pipeline processed successfully.</t>
        </is>
      </c>
      <c r="F27" s="93" t="inlineStr">
        <is>
          <t>Closed</t>
        </is>
      </c>
      <c r="G27" s="93" t="inlineStr">
        <is>
          <t>2026-04-21</t>
        </is>
      </c>
    </row>
    <row r="28" ht="40" customHeight="1">
      <c r="A28" s="91" t="inlineStr">
        <is>
          <t>IT-3003394</t>
        </is>
      </c>
      <c r="B28" s="92" t="inlineStr">
        <is>
          <t>Medical Codes Library Document Submission</t>
        </is>
      </c>
      <c r="C28" s="92" t="inlineStr">
        <is>
          <t>Please add the attached table (DX Code Laterality Table) to the Medical Codes Library (MCL). Table is needed for Spotcheck content logic.</t>
        </is>
      </c>
      <c r="D28" s="92"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E28" s="92" t="inlineStr">
        <is>
          <t>All the required configurations are completed and tested in dev environment. Mike validated and confirmed to close the ticket. Migrated all the configs to production.</t>
        </is>
      </c>
      <c r="F28" s="91" t="inlineStr">
        <is>
          <t>Closed</t>
        </is>
      </c>
      <c r="G28" s="91" t="inlineStr">
        <is>
          <t>2026-04-21</t>
        </is>
      </c>
    </row>
    <row r="29" ht="40" customHeight="1">
      <c r="A29" s="93" t="inlineStr">
        <is>
          <t>IT-3002267</t>
        </is>
      </c>
      <c r="B29" s="94" t="inlineStr">
        <is>
          <t>[Aetna-Trad-SCM]-Update prechecks for BMC and publish all the child pipelines.</t>
        </is>
      </c>
      <c r="C29" s="94" t="inlineStr">
        <is>
          <t>Update precheck with pipeline version as latest and remove all the unnecessary parameters from the pipeline. Publish all the child pipelines and modify subscribe BMC pipeline versions to latest.</t>
        </is>
      </c>
      <c r="D29" s="94"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E29" s="94" t="inlineStr">
        <is>
          <t>BMC Pipeline prechecks conditions for pipeline version is updated to latest. Published and scheduled the latest BMC version pipeline. FYI: trigger_bmc_workflow_CHC_AETNA_WKY_SCM_NILE Version: V1.3</t>
        </is>
      </c>
      <c r="F29" s="93" t="inlineStr">
        <is>
          <t>Closed</t>
        </is>
      </c>
      <c r="G29" s="93" t="inlineStr">
        <is>
          <t>2026-04-20</t>
        </is>
      </c>
    </row>
    <row r="30" ht="40" customHeight="1">
      <c r="A30" s="91" t="inlineStr">
        <is>
          <t>IT-3001908</t>
        </is>
      </c>
      <c r="B30" s="92" t="inlineStr">
        <is>
          <t>BCBS_AL COMM - Suspend Pharmacy pipeline</t>
        </is>
      </c>
      <c r="C30" s="92" t="inlineStr">
        <is>
          <t>Hello, Please shut down BCBS_AL COMM Pharmacy pipeline: prod - dm-bcbsalcomm-custom-actian_migration_pharmacy Because the client will no longer be sending this file. Thank you</t>
        </is>
      </c>
      <c r="D30" s="92"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E30" s="92" t="inlineStr">
        <is>
          <t>dm-bcbsalcomm-custom-actian_migration_pharmacy pipelines have been suspended and the rest of the files have been ingested.</t>
        </is>
      </c>
      <c r="F30" s="91" t="inlineStr">
        <is>
          <t>Closed</t>
        </is>
      </c>
      <c r="G30" s="91" t="inlineStr">
        <is>
          <t>2026-04-20</t>
        </is>
      </c>
    </row>
    <row r="31" ht="40" customHeight="1">
      <c r="A31" s="93" t="inlineStr">
        <is>
          <t>IT-3001338</t>
        </is>
      </c>
      <c r="B31" s="94" t="inlineStr">
        <is>
          <t>Copy files From Nile Prod Raw path to Nile QC Raw path - UHC-CSP</t>
        </is>
      </c>
      <c r="C31" s="94"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D31" s="94" t="inlineStr">
        <is>
          <t>Hi Pati, Jagadeesh Chandra Files copied please verify</t>
        </is>
      </c>
      <c r="E31" s="94" t="inlineStr">
        <is>
          <t>Files Copied</t>
        </is>
      </c>
      <c r="F31" s="93" t="inlineStr">
        <is>
          <t>Closed</t>
        </is>
      </c>
      <c r="G31" s="93" t="inlineStr">
        <is>
          <t>2026-04-20</t>
        </is>
      </c>
    </row>
    <row r="32" ht="40" customHeight="1">
      <c r="A32" s="91" t="inlineStr">
        <is>
          <t>IT-3001212</t>
        </is>
      </c>
      <c r="B32" s="92" t="inlineStr">
        <is>
          <t>Copy files From Nile Prod Raw path to Nile QC Raw path - Aetna Trad</t>
        </is>
      </c>
      <c r="C32" s="92"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32" s="92" t="inlineStr">
        <is>
          <t>Hi Shivalingu, Naveen Files copied please verify Thanks Satish Devatha</t>
        </is>
      </c>
      <c r="E32" s="92" t="inlineStr">
        <is>
          <t>Files Copied</t>
        </is>
      </c>
      <c r="F32" s="91" t="inlineStr">
        <is>
          <t>Closed</t>
        </is>
      </c>
      <c r="G32" s="91" t="inlineStr">
        <is>
          <t>2026-04-20</t>
        </is>
      </c>
    </row>
    <row r="33" ht="40" customHeight="1">
      <c r="A33" s="93" t="inlineStr">
        <is>
          <t>IT-2999879</t>
        </is>
      </c>
      <c r="B33" s="94" t="inlineStr">
        <is>
          <t>Peer review for BMC workflow pipelines</t>
        </is>
      </c>
      <c r="C33" s="94" t="inlineStr">
        <is>
          <t>The above pipelines need to be verified.</t>
        </is>
      </c>
      <c r="D33" s="94" t="inlineStr">
        <is>
          <t>I have to check this ticket now. I have reviewed the bmc pipelines.</t>
        </is>
      </c>
      <c r="E33" s="94" t="inlineStr">
        <is>
          <t>I have reviewed the bmc pipelines.</t>
        </is>
      </c>
      <c r="F33" s="93" t="inlineStr">
        <is>
          <t>Closed</t>
        </is>
      </c>
      <c r="G33" s="93" t="inlineStr">
        <is>
          <t>2026-04-20</t>
        </is>
      </c>
    </row>
    <row r="34" ht="40" customHeight="1">
      <c r="A34" s="91" t="inlineStr">
        <is>
          <t>IT-2999839</t>
        </is>
      </c>
      <c r="B34" s="92" t="inlineStr">
        <is>
          <t>Updating the pre-checks for the BMC workflow pipelines.</t>
        </is>
      </c>
      <c r="C34" s="92" t="inlineStr">
        <is>
          <t>Updating the pre-checks to use the pipeline version as “Latest” instead of specific versions. This ensures that any pipelines with modifications and newly published versions will automatically be picked up and considered in the workflow going forward.</t>
        </is>
      </c>
      <c r="D34" s="92" t="inlineStr"/>
      <c r="E34" s="92" t="inlineStr">
        <is>
          <t>Updated all prechecks to the **Latest** version for the pipelines, published them, verified that all respective child pipelines are published, and proceeded with scheduling.</t>
        </is>
      </c>
      <c r="F34" s="91" t="inlineStr">
        <is>
          <t>Closed</t>
        </is>
      </c>
      <c r="G34" s="91" t="inlineStr">
        <is>
          <t>2026-04-20</t>
        </is>
      </c>
    </row>
    <row r="35" ht="40" customHeight="1">
      <c r="A35" s="93" t="inlineStr">
        <is>
          <t>IT-2999102</t>
        </is>
      </c>
      <c r="B35" s="94" t="inlineStr">
        <is>
          <t>WELEX - History PROF &amp; INST. files failed - 04/18/2026</t>
        </is>
      </c>
      <c r="C35" s="94"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D35" s="94" t="inlineStr">
        <is>
          <t>Hi Gudala, Kumaraswamy We have requested client to send the replacement file. Email ref: Requesting replacement file for Wellmark QC test tba file we haven't heard anything yet from the client so, we have again sent a follow up email to the client.</t>
        </is>
      </c>
      <c r="E35" s="94" t="inlineStr"/>
      <c r="F35" s="93" t="inlineStr">
        <is>
          <t>Awaiting User Info</t>
        </is>
      </c>
      <c r="G35" s="93" t="inlineStr">
        <is>
          <t>2026-04-18</t>
        </is>
      </c>
    </row>
    <row r="36" ht="40" customHeight="1">
      <c r="A36" s="91" t="inlineStr">
        <is>
          <t>IT-2995627</t>
        </is>
      </c>
      <c r="B36" s="92" t="inlineStr">
        <is>
          <t>adding 2 email list for HCSC and UHC Cirrus pipeline</t>
        </is>
      </c>
      <c r="C36" s="92" t="inlineStr">
        <is>
          <t>team, would you please help add EDM_RCA_UHC_CIRRUS@cotiviti.com to uhc cirrus nile ingestion failure email notification would you please help add EDM_RCA_HCSC@cotiviti.com to HCSC nile ingestion failure email notification Thanks</t>
        </is>
      </c>
      <c r="D36" s="92"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E36" s="92" t="inlineStr"/>
      <c r="F36" s="91" t="inlineStr">
        <is>
          <t>On Hold</t>
        </is>
      </c>
      <c r="G36" s="91" t="inlineStr">
        <is>
          <t>2026-04-16</t>
        </is>
      </c>
    </row>
    <row r="37" ht="40" customHeight="1">
      <c r="A37" s="93" t="inlineStr">
        <is>
          <t>IT-2994792</t>
        </is>
      </c>
      <c r="B37" s="94" t="inlineStr">
        <is>
          <t>Decomission HAMP EPICTAPESTRY PPM</t>
        </is>
      </c>
      <c r="C37" s="94" t="inlineStr">
        <is>
          <t>Decomission HAMP EPICTAPESTRY PPM</t>
        </is>
      </c>
      <c r="D37" s="94" t="inlineStr">
        <is>
          <t>RE_ DAILY_ Missing File_ HAMP TBA professional File not received (20260405).msg</t>
        </is>
      </c>
      <c r="E37" s="94" t="inlineStr">
        <is>
          <t>Removed the pipeline and spoolers from the Nile application and tracker.</t>
        </is>
      </c>
      <c r="F37" s="93" t="inlineStr">
        <is>
          <t>Closed</t>
        </is>
      </c>
      <c r="G37" s="93" t="inlineStr">
        <is>
          <t>2026-04-16</t>
        </is>
      </c>
    </row>
    <row r="38" ht="40" customHeight="1">
      <c r="A38" s="91" t="inlineStr">
        <is>
          <t>IT-2993542</t>
        </is>
      </c>
      <c r="B38" s="92" t="inlineStr">
        <is>
          <t>Update " SpecialtyPharmacyProviders" Table in MCL</t>
        </is>
      </c>
      <c r="C38" s="92"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D38" s="92"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E38" s="92" t="inlineStr">
        <is>
          <t>File processed successfully</t>
        </is>
      </c>
      <c r="F38" s="91" t="inlineStr">
        <is>
          <t>Closed</t>
        </is>
      </c>
      <c r="G38" s="91" t="inlineStr">
        <is>
          <t>2026-04-16</t>
        </is>
      </c>
    </row>
    <row r="39" ht="40" customHeight="1">
      <c r="A39" s="93" t="inlineStr">
        <is>
          <t>IT-2992309</t>
        </is>
      </c>
      <c r="B39" s="94" t="inlineStr">
        <is>
          <t>Urgent Request: The Kaiser team is missing the latest Dataload which should have a max claim_paid_date of 03/27/2026</t>
        </is>
      </c>
      <c r="C39" s="94"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D39" s="94" t="inlineStr">
        <is>
          <t>Closing. Per Melly S., should be in Nile Onboarding team. Not sure if IT-XXXXX tickets is the right forum for these tickets. Sajjan is working with operations to get this resolved. per comment: 15/Apr/26 5:14 PM EDT</t>
        </is>
      </c>
      <c r="E39" s="94" t="inlineStr"/>
      <c r="F39" s="93" t="inlineStr">
        <is>
          <t>Cancelled</t>
        </is>
      </c>
      <c r="G39" s="93" t="inlineStr">
        <is>
          <t>2026-04-15</t>
        </is>
      </c>
    </row>
    <row r="40" ht="40" customHeight="1">
      <c r="A40" s="91" t="inlineStr">
        <is>
          <t>IT-2989822</t>
        </is>
      </c>
      <c r="B40" s="92" t="inlineStr">
        <is>
          <t>Please add Aetna ASH into Master Tracking Sheet</t>
        </is>
      </c>
      <c r="C40" s="92" t="inlineStr">
        <is>
          <t>Hi Jani, Would you mind adding Aetna ASH entries? I think we had a transition meeting on March 26th. Thx so much Jani melly</t>
        </is>
      </c>
      <c r="D40" s="92"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E40" s="92" t="inlineStr">
        <is>
          <t>Details recorded in a sheet</t>
        </is>
      </c>
      <c r="F40" s="91" t="inlineStr">
        <is>
          <t>Closed</t>
        </is>
      </c>
      <c r="G40" s="91" t="inlineStr">
        <is>
          <t>2026-04-14</t>
        </is>
      </c>
    </row>
    <row r="41" ht="40" customHeight="1">
      <c r="A41" s="93" t="inlineStr">
        <is>
          <t>IT-2988716</t>
        </is>
      </c>
      <c r="B41" s="94" t="inlineStr">
        <is>
          <t>ARD-Prod Apr - 2026 Humana Retro Process</t>
        </is>
      </c>
      <c r="C41" s="94" t="inlineStr">
        <is>
          <t>ARD-Prod Apr - 2026 Humana Retro Process</t>
        </is>
      </c>
      <c r="D41" s="94"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E41" s="94" t="inlineStr">
        <is>
          <t>Generated files to Finance and send email to respective members Process complete.</t>
        </is>
      </c>
      <c r="F41" s="93" t="inlineStr">
        <is>
          <t>Closed</t>
        </is>
      </c>
      <c r="G41" s="93" t="inlineStr">
        <is>
          <t>2026-04-14</t>
        </is>
      </c>
    </row>
    <row r="42" ht="40" customHeight="1">
      <c r="A42" s="91" t="inlineStr">
        <is>
          <t>IT-2988711</t>
        </is>
      </c>
      <c r="B42" s="92" t="inlineStr">
        <is>
          <t>ARD-Prod: Run the UhCsp dups pipeline for Apr - 2026 (pulling Mar - 2026 data) RCA Job</t>
        </is>
      </c>
      <c r="C42" s="92" t="inlineStr">
        <is>
          <t>ARD-Prod: Run the UhCsp dups pipeline for Apr - 2026 (pulling Mar - 2026 data) RCA Job</t>
        </is>
      </c>
      <c r="D42" s="92"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E42" s="92" t="inlineStr">
        <is>
          <t>Step 4 Job Completed QA checks are done. Send email to respective members</t>
        </is>
      </c>
      <c r="F42" s="91" t="inlineStr">
        <is>
          <t>Closed</t>
        </is>
      </c>
      <c r="G42" s="91" t="inlineStr">
        <is>
          <t>2026-04-14</t>
        </is>
      </c>
    </row>
    <row r="43" ht="40" customHeight="1">
      <c r="A43" s="93" t="inlineStr">
        <is>
          <t>IT-2988581</t>
        </is>
      </c>
      <c r="B43" s="94" t="inlineStr">
        <is>
          <t>Data Copy Request</t>
        </is>
      </c>
      <c r="C43" s="94" t="inlineStr">
        <is>
          <t>Hello Devatha, Satish , Kindly copy the Presbyterian HRP history files for the past two months (February and March). Thank you.</t>
        </is>
      </c>
      <c r="D43" s="94" t="inlineStr">
        <is>
          <t>Files are copied</t>
        </is>
      </c>
      <c r="E43" s="94" t="inlineStr">
        <is>
          <t>Files are copied</t>
        </is>
      </c>
      <c r="F43" s="93" t="inlineStr">
        <is>
          <t>Closed</t>
        </is>
      </c>
      <c r="G43" s="93" t="inlineStr">
        <is>
          <t>2026-04-14</t>
        </is>
      </c>
    </row>
    <row r="44" ht="40" customHeight="1">
      <c r="A44" s="91" t="inlineStr">
        <is>
          <t>IT-2988483</t>
        </is>
      </c>
      <c r="B44" s="92" t="inlineStr">
        <is>
          <t>Request to ingest Aetna CAQH file -COB Smart Cotoviti 040426.zip</t>
        </is>
      </c>
      <c r="C44" s="92"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D44" s="92" t="inlineStr">
        <is>
          <t>Edited 3 spoolers and pipelines to process the new filename pattern. Vandanath, Teena confirmed that the files have been ingested successfully</t>
        </is>
      </c>
      <c r="E44" s="92" t="inlineStr">
        <is>
          <t>spoolers were changed to allow the misspelled file name pattern same with the pipeline</t>
        </is>
      </c>
      <c r="F44" s="91" t="inlineStr">
        <is>
          <t>Closed</t>
        </is>
      </c>
      <c r="G44" s="91" t="inlineStr">
        <is>
          <t>2026-04-14</t>
        </is>
      </c>
    </row>
    <row r="45" ht="40" customHeight="1">
      <c r="A45" s="93" t="inlineStr">
        <is>
          <t>IT-2988285</t>
        </is>
      </c>
      <c r="B45" s="94" t="inlineStr">
        <is>
          <t>Peer review for oscar - homegrown</t>
        </is>
      </c>
      <c r="C45" s="94" t="inlineStr">
        <is>
          <t>Reviewed the Oscar homegrown data against the old dataset and the runs using the new PPM template, validation was completed with Puchakayala, Ranadeep and everything looks good. We are ready to proceed to production.</t>
        </is>
      </c>
      <c r="D45" s="94" t="inlineStr"/>
      <c r="E45" s="94" t="inlineStr">
        <is>
          <t>Reviewed and scheduled</t>
        </is>
      </c>
      <c r="F45" s="93" t="inlineStr">
        <is>
          <t>Closed</t>
        </is>
      </c>
      <c r="G45" s="93" t="inlineStr">
        <is>
          <t>2026-04-14</t>
        </is>
      </c>
    </row>
    <row r="46" ht="40" customHeight="1">
      <c r="A46" s="91" t="inlineStr">
        <is>
          <t>IT-2986640</t>
        </is>
      </c>
      <c r="B46" s="92" t="inlineStr">
        <is>
          <t>BCBSNJ Nasco - Delete the file from raw folder for 20260217 date</t>
        </is>
      </c>
      <c r="C46" s="92"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D46" s="92" t="inlineStr">
        <is>
          <t>Hi Shaik, Parveena Removed the file from raw path Thanks Satish Devatha</t>
        </is>
      </c>
      <c r="E46" s="92" t="inlineStr">
        <is>
          <t>Removed the file from raw path</t>
        </is>
      </c>
      <c r="F46" s="91" t="inlineStr">
        <is>
          <t>Closed</t>
        </is>
      </c>
      <c r="G46" s="91" t="inlineStr">
        <is>
          <t>2026-04-13</t>
        </is>
      </c>
    </row>
    <row r="47" ht="40" customHeight="1">
      <c r="A47" s="93" t="inlineStr">
        <is>
          <t>IT-2986624</t>
        </is>
      </c>
      <c r="B47" s="94" t="inlineStr">
        <is>
          <t>Copy files From Nile Prod Raw path to Nile QC Raw path - Aetna Trad</t>
        </is>
      </c>
      <c r="C47" s="94"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47" s="94" t="inlineStr">
        <is>
          <t>Hi Shivalingu, Naveen Files copied. Please verify Thanks Satish Devatha</t>
        </is>
      </c>
      <c r="E47" s="94" t="inlineStr">
        <is>
          <t>Files Copied</t>
        </is>
      </c>
      <c r="F47" s="93" t="inlineStr">
        <is>
          <t>Closed</t>
        </is>
      </c>
      <c r="G47" s="93" t="inlineStr">
        <is>
          <t>2026-04-13</t>
        </is>
      </c>
    </row>
    <row r="48" ht="40" customHeight="1">
      <c r="A48" s="91" t="inlineStr">
        <is>
          <t>IT-2986524</t>
        </is>
      </c>
      <c r="B48" s="92" t="inlineStr">
        <is>
          <t>Copy files From Nile Prod Raw path to Nile QC Raw path - UHC-CSP</t>
        </is>
      </c>
      <c r="C48" s="92"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D48" s="92" t="inlineStr">
        <is>
          <t>Hi Pati, Jagadeesh Chandra Files copied. please verify. Thanks</t>
        </is>
      </c>
      <c r="E48" s="92" t="inlineStr">
        <is>
          <t>Files Copied</t>
        </is>
      </c>
      <c r="F48" s="91" t="inlineStr">
        <is>
          <t>Closed</t>
        </is>
      </c>
      <c r="G48" s="91" t="inlineStr">
        <is>
          <t>2026-04-13</t>
        </is>
      </c>
    </row>
    <row r="49" ht="40" customHeight="1">
      <c r="A49" s="93" t="inlineStr">
        <is>
          <t>IT-2985806</t>
        </is>
      </c>
      <c r="B49" s="94" t="inlineStr">
        <is>
          <t>Testing and promoting oscar - homegrown pipelines to prod using the new PPM template.</t>
        </is>
      </c>
      <c r="C49" s="94" t="inlineStr">
        <is>
          <t>Validating and deploying pipelines with the new PPM template to ensure proper functionality and compatibility. client - oscar - homegrown</t>
        </is>
      </c>
      <c r="D49" s="94" t="inlineStr">
        <is>
          <t>Subtask needed to be validated. The lean ingestion pipelines are now live in production.</t>
        </is>
      </c>
      <c r="E49" s="94" t="inlineStr">
        <is>
          <t>Lean_ingestion pipelines sent live.</t>
        </is>
      </c>
      <c r="F49" s="93" t="inlineStr">
        <is>
          <t>Closed</t>
        </is>
      </c>
      <c r="G49" s="93" t="inlineStr">
        <is>
          <t>2026-04-13</t>
        </is>
      </c>
    </row>
    <row r="50" ht="40" customHeight="1">
      <c r="A50" s="91" t="inlineStr">
        <is>
          <t>IT-2985721</t>
        </is>
      </c>
      <c r="B50" s="92" t="inlineStr">
        <is>
          <t>Update the tracker with the newly deployed History pipelines for Premera and Geisinger that are now live in production.</t>
        </is>
      </c>
      <c r="C50" s="92"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D50" s="92" t="inlineStr"/>
      <c r="E50" s="92" t="inlineStr">
        <is>
          <t>Details recorded accordingly.</t>
        </is>
      </c>
      <c r="F50" s="91" t="inlineStr">
        <is>
          <t>Closed</t>
        </is>
      </c>
      <c r="G50" s="91" t="inlineStr">
        <is>
          <t>2026-04-13</t>
        </is>
      </c>
    </row>
    <row r="51" ht="40" customHeight="1">
      <c r="A51" s="93" t="inlineStr">
        <is>
          <t>IT-2982952</t>
        </is>
      </c>
      <c r="B51" s="94" t="inlineStr">
        <is>
          <t>Request for presbyterian - hrp Monthly improvement</t>
        </is>
      </c>
      <c r="C51" s="94"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D51" s="94"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E51" s="94" t="inlineStr">
        <is>
          <t>Introduced a weekly data validation module to enhance visibility into processed files and those pending processing.</t>
        </is>
      </c>
      <c r="F51" s="93" t="inlineStr">
        <is>
          <t>Closed</t>
        </is>
      </c>
      <c r="G51" s="93" t="inlineStr">
        <is>
          <t>2026-04-10</t>
        </is>
      </c>
    </row>
    <row r="52" ht="40" customHeight="1">
      <c r="A52" s="91" t="inlineStr">
        <is>
          <t>IT-2982706</t>
        </is>
      </c>
      <c r="B52" s="92" t="inlineStr">
        <is>
          <t>trigger_bmc_workflow-uhc-unet_monthly_DataLoads_V2</t>
        </is>
      </c>
      <c r="C52" s="92"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D52" s="92" t="inlineStr">
        <is>
          <t>changed and published pipelines to get picked up by the trigger pipeline changed spooler required to Y for all pipelines also changed config to show pre-checks using LATEST version created and scheduled trigger BMC reassigning to Easley, Keaton</t>
        </is>
      </c>
      <c r="E52" s="92" t="inlineStr"/>
      <c r="F52" s="91" t="inlineStr">
        <is>
          <t>In Progress (HD1)</t>
        </is>
      </c>
      <c r="G52" s="91" t="inlineStr">
        <is>
          <t>2026-04-10</t>
        </is>
      </c>
    </row>
    <row r="53" ht="40" customHeight="1">
      <c r="A53" s="93" t="inlineStr">
        <is>
          <t>IT-2982622</t>
        </is>
      </c>
      <c r="B53" s="94" t="inlineStr">
        <is>
          <t>trigger_bmc_workflow-uhc-unet_monthly_Incremental_Dataload</t>
        </is>
      </c>
      <c r="C53" s="94" t="inlineStr">
        <is>
          <t>trigger_bmc_workflow-uhc-unet_monthly_Incremental_Dataload has not ran since December. not sure the issue here</t>
        </is>
      </c>
      <c r="D53" s="94"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E53" s="94" t="inlineStr">
        <is>
          <t>need to create 2 new BMC pipelines. One for the first run and the second one is for the 2nd and 3rd run of each month.</t>
        </is>
      </c>
      <c r="F53" s="93" t="inlineStr">
        <is>
          <t>Closed</t>
        </is>
      </c>
      <c r="G53" s="93" t="inlineStr">
        <is>
          <t>2026-04-10</t>
        </is>
      </c>
    </row>
    <row r="54" ht="40" customHeight="1">
      <c r="A54" s="91" t="inlineStr">
        <is>
          <t>IT-2982545</t>
        </is>
      </c>
      <c r="B54" s="92" t="inlineStr">
        <is>
          <t>trigger_bmc_workflow-uhc-unet_monthly_UnetAso</t>
        </is>
      </c>
      <c r="C54" s="92" t="inlineStr">
        <is>
          <t>all pipelines are completed successfully error_list=dm-uhc-unet-actian_migration_claimsasophy: Missing data, can_proceed=0</t>
        </is>
      </c>
      <c r="D54" s="92" t="inlineStr">
        <is>
          <t>Created a new version to set spooler YN to Y need to publish the pipelines setup config pre checks to show latest and make sure subscribr is set on the BMC trigger assigning to Easley, Keaton</t>
        </is>
      </c>
      <c r="E54" s="92" t="inlineStr"/>
      <c r="F54" s="91" t="inlineStr">
        <is>
          <t>In Progress (HD1)</t>
        </is>
      </c>
      <c r="G54" s="91" t="inlineStr">
        <is>
          <t>2026-04-10</t>
        </is>
      </c>
    </row>
    <row r="55" ht="40" customHeight="1">
      <c r="A55" s="93" t="inlineStr">
        <is>
          <t>IT-2981879</t>
        </is>
      </c>
      <c r="B55" s="94" t="inlineStr">
        <is>
          <t>Production Transition - Aetna - MR</t>
        </is>
      </c>
      <c r="C55" s="94" t="inlineStr">
        <is>
          <t>Production Transition - Aetna - MR</t>
        </is>
      </c>
      <c r="D55" s="94" t="inlineStr">
        <is>
          <t>Waiting for documents</t>
        </is>
      </c>
      <c r="E55" s="94" t="inlineStr"/>
      <c r="F55" s="93" t="inlineStr">
        <is>
          <t>On Hold</t>
        </is>
      </c>
      <c r="G55" s="93" t="inlineStr">
        <is>
          <t>2026-04-10</t>
        </is>
      </c>
    </row>
    <row r="56" ht="40" customHeight="1">
      <c r="A56" s="91" t="inlineStr">
        <is>
          <t>IT-2981131</t>
        </is>
      </c>
      <c r="B56" s="92" t="inlineStr">
        <is>
          <t>Need a copy of data from Nile PROD to Nile Dev Location</t>
        </is>
      </c>
      <c r="C56" s="92"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D56" s="92"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E56" s="92" t="inlineStr">
        <is>
          <t>data copied as requested and verified.</t>
        </is>
      </c>
      <c r="F56" s="91" t="inlineStr">
        <is>
          <t>Closed</t>
        </is>
      </c>
      <c r="G56" s="91" t="inlineStr">
        <is>
          <t>2026-04-09</t>
        </is>
      </c>
    </row>
    <row r="57" ht="40" customHeight="1">
      <c r="A57" s="93" t="inlineStr">
        <is>
          <t>IT-2980439</t>
        </is>
      </c>
      <c r="B57" s="94" t="inlineStr">
        <is>
          <t>Created a runbook for Lean ingestion pipelines for Premera and Geisinger.</t>
        </is>
      </c>
      <c r="C57" s="94" t="inlineStr">
        <is>
          <t>Geisinger Facets_PPM_Lean_Ingestion_Run_Book.docx Premera BlueCross_PPM_Lean_Ingestion_Run_Book.docx</t>
        </is>
      </c>
      <c r="D57" s="94" t="inlineStr">
        <is>
          <t>Geisinger Facets_PPM_Lean_Ingestion_Run_Book.docx Premera BlueCross_PPM_Lean_Ingestion_Run_Book.docx</t>
        </is>
      </c>
      <c r="E57" s="94" t="inlineStr">
        <is>
          <t>Attached the run books in the comments.</t>
        </is>
      </c>
      <c r="F57" s="93" t="inlineStr">
        <is>
          <t>Closed</t>
        </is>
      </c>
      <c r="G57" s="93" t="inlineStr">
        <is>
          <t>2026-04-09</t>
        </is>
      </c>
    </row>
    <row r="58" ht="40" customHeight="1">
      <c r="A58" s="91" t="inlineStr">
        <is>
          <t>IT-2974191</t>
        </is>
      </c>
      <c r="B58" s="92" t="inlineStr">
        <is>
          <t>BCBSND-OSCAR: fwa-BCBSND-OSCAR_member_GDF2_3 (ingestion date 3/11)</t>
        </is>
      </c>
      <c r="C58" s="92"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D58" s="92" t="inlineStr">
        <is>
          <t>Created a new version fwa-BCBSND-OSCAR_member_GDF2_3 1.1</t>
        </is>
      </c>
      <c r="E58" s="92" t="inlineStr">
        <is>
          <t>fixed and ingested files for 2026/03/11 need to schedule pipeline</t>
        </is>
      </c>
      <c r="F58" s="91" t="inlineStr">
        <is>
          <t>Closed</t>
        </is>
      </c>
      <c r="G58" s="91" t="inlineStr">
        <is>
          <t>2026-04-06</t>
        </is>
      </c>
    </row>
    <row r="59" ht="40" customHeight="1">
      <c r="A59" s="93" t="inlineStr">
        <is>
          <t>IT-2973653</t>
        </is>
      </c>
      <c r="B59" s="94" t="inlineStr">
        <is>
          <t>DM and RCOB Layouts for Independence Blue Cross</t>
        </is>
      </c>
      <c r="C59" s="94" t="inlineStr">
        <is>
          <t>Hello, we need to conduct an OA analysis for Independence Blue Cross. We would like to use the DM and RCOB layout to get started. Will you please send these files to us?</t>
        </is>
      </c>
      <c r="D59" s="94" t="inlineStr">
        <is>
          <t>Hi Smith, Emily Shared the schema layouts Thanks Satish Devatha</t>
        </is>
      </c>
      <c r="E59" s="94" t="inlineStr">
        <is>
          <t>Shared the schema layouts</t>
        </is>
      </c>
      <c r="F59" s="93" t="inlineStr">
        <is>
          <t>Closed</t>
        </is>
      </c>
      <c r="G59" s="93" t="inlineStr">
        <is>
          <t>2026-04-06</t>
        </is>
      </c>
    </row>
    <row r="60" ht="40" customHeight="1">
      <c r="A60" s="91" t="inlineStr">
        <is>
          <t>IT-2973088</t>
        </is>
      </c>
      <c r="B60" s="92" t="inlineStr">
        <is>
          <t>Copy files From Nile Prod Raw path to Nile QC Raw path - Aetna Trad</t>
        </is>
      </c>
      <c r="C60" s="92"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60" s="92" t="inlineStr">
        <is>
          <t>Hi Shivalingu, Naveen Files are copied please verify</t>
        </is>
      </c>
      <c r="E60" s="92" t="inlineStr">
        <is>
          <t>Files Copied</t>
        </is>
      </c>
      <c r="F60" s="91" t="inlineStr">
        <is>
          <t>Closed</t>
        </is>
      </c>
      <c r="G60" s="91" t="inlineStr">
        <is>
          <t>2026-04-06</t>
        </is>
      </c>
    </row>
    <row r="61" ht="40" customHeight="1">
      <c r="A61" s="93" t="inlineStr">
        <is>
          <t>IT-2970242</t>
        </is>
      </c>
      <c r="B61" s="94" t="inlineStr">
        <is>
          <t>BCBSLA PBM RCA Prod Transition Documents Review</t>
        </is>
      </c>
      <c r="C61" s="94" t="inlineStr">
        <is>
          <t>Please review the prod transition checklist documents for BCBSLA PBM RCA and let us know if any changes are needed. Creating this ticket as a placeholder. Will update ticket with document links once complete.</t>
        </is>
      </c>
      <c r="D61" s="94"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E61" s="94" t="inlineStr">
        <is>
          <t>Transition completed.</t>
        </is>
      </c>
      <c r="F61" s="93" t="inlineStr">
        <is>
          <t>Closed</t>
        </is>
      </c>
      <c r="G61" s="93" t="inlineStr">
        <is>
          <t>2026-04-03</t>
        </is>
      </c>
    </row>
    <row r="62" ht="40" customHeight="1">
      <c r="A62" s="91" t="inlineStr">
        <is>
          <t>IT-2970071</t>
        </is>
      </c>
      <c r="B62" s="92" t="inlineStr">
        <is>
          <t>please fix BCBS_MI-MedAdv BMC Pipeline</t>
        </is>
      </c>
      <c r="C62" s="92" t="inlineStr">
        <is>
          <t>please fix trigger_bmc_workflow-bcbs_mi_medadv_monthly bmc pipelines as it is not reflecting the latest child pipeline</t>
        </is>
      </c>
      <c r="D62" s="92" t="inlineStr">
        <is>
          <t>new pipeline created, scheduled pipeline, edited prechecks and made sure "pare" pipelines are all published</t>
        </is>
      </c>
      <c r="E62" s="92" t="inlineStr">
        <is>
          <t>Pipeline -- created a new version, changed to make pre checks work and made sure all calling pipelines are configured accordingly</t>
        </is>
      </c>
      <c r="F62" s="91" t="inlineStr">
        <is>
          <t>Closed</t>
        </is>
      </c>
      <c r="G62" s="91" t="inlineStr">
        <is>
          <t>2026-04-03</t>
        </is>
      </c>
    </row>
    <row r="63" ht="40" customHeight="1">
      <c r="A63" s="93" t="inlineStr">
        <is>
          <t>IT-2969877</t>
        </is>
      </c>
      <c r="B63" s="94" t="inlineStr">
        <is>
          <t>Copy files From Nile Prod Raw path to Nile QC Raw path - UHC-CSP</t>
        </is>
      </c>
      <c r="C63" s="94"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D63" s="94"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E63" s="94" t="inlineStr">
        <is>
          <t>all data copied as requested and verified.</t>
        </is>
      </c>
      <c r="F63" s="93" t="inlineStr">
        <is>
          <t>Closed</t>
        </is>
      </c>
      <c r="G63" s="93" t="inlineStr">
        <is>
          <t>2026-04-03</t>
        </is>
      </c>
    </row>
    <row r="64" ht="40" customHeight="1">
      <c r="A64" s="91" t="inlineStr">
        <is>
          <t>IT-2969243</t>
        </is>
      </c>
      <c r="B64" s="92" t="inlineStr">
        <is>
          <t>Data copy Request</t>
        </is>
      </c>
      <c r="C64" s="92" t="inlineStr">
        <is>
          <t>Hello Devatha, Satish , I kindly request you to copy the latest ingestion-date data files for Premera history to the dev environment to test the pipelines built using the new PPM template. Thank You.</t>
        </is>
      </c>
      <c r="D64" s="92"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E64" s="92" t="inlineStr">
        <is>
          <t>Data Copied</t>
        </is>
      </c>
      <c r="F64" s="91" t="inlineStr">
        <is>
          <t>Closed</t>
        </is>
      </c>
      <c r="G64" s="91" t="inlineStr">
        <is>
          <t>2026-04-03</t>
        </is>
      </c>
    </row>
    <row r="65" ht="40" customHeight="1">
      <c r="A65" s="93" t="inlineStr">
        <is>
          <t>IT-2969231</t>
        </is>
      </c>
      <c r="B65" s="94" t="inlineStr">
        <is>
          <t>Skip Aetna Hrp Payment pipeline for 03/23 Data Date.</t>
        </is>
      </c>
      <c r="C65" s="94" t="inlineStr">
        <is>
          <t>Skip Aetna Hrp Payment pipeline for 03/23 Data Date.</t>
        </is>
      </c>
      <c r="D65" s="94" t="inlineStr"/>
      <c r="E65" s="94" t="inlineStr">
        <is>
          <t>Ingestion Date Skipped 03/23.</t>
        </is>
      </c>
      <c r="F65" s="93" t="inlineStr">
        <is>
          <t>Closed</t>
        </is>
      </c>
      <c r="G65" s="93" t="inlineStr">
        <is>
          <t>2026-04-03</t>
        </is>
      </c>
    </row>
    <row r="66" ht="40" customHeight="1">
      <c r="A66" s="91" t="inlineStr">
        <is>
          <t>IT-2967657</t>
        </is>
      </c>
      <c r="B66" s="92" t="inlineStr">
        <is>
          <t>Aetna MCD CAQH-Request to include new Region</t>
        </is>
      </c>
      <c r="C66" s="92"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D66" s="92"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E66" s="92" t="inlineStr">
        <is>
          <t>new file pattern is now being saved after added to mcd files</t>
        </is>
      </c>
      <c r="F66" s="91" t="inlineStr">
        <is>
          <t>Closed</t>
        </is>
      </c>
      <c r="G66" s="91" t="inlineStr">
        <is>
          <t>2026-04-02</t>
        </is>
      </c>
    </row>
    <row r="67" ht="40" customHeight="1">
      <c r="A67" s="93" t="inlineStr">
        <is>
          <t>IT-2967594</t>
        </is>
      </c>
      <c r="B67" s="94" t="inlineStr">
        <is>
          <t>Aetna MCD- Request to separate out the HEW files</t>
        </is>
      </c>
      <c r="C67" s="94"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D67" s="94" t="inlineStr">
        <is>
          <t>4Q25 file only reprocessing with 20260331 datadate. pipeline is running for 20260331 datadte for 4Q25 file. Nile processed both 4Q25 and 1Q26 files Thanks Satish Devatha</t>
        </is>
      </c>
      <c r="E67" s="94" t="inlineStr">
        <is>
          <t>Nile processed both 4Q25 and 1Q26 files</t>
        </is>
      </c>
      <c r="F67" s="93" t="inlineStr">
        <is>
          <t>Closed</t>
        </is>
      </c>
      <c r="G67" s="93" t="inlineStr">
        <is>
          <t>2026-04-02</t>
        </is>
      </c>
    </row>
    <row r="68" ht="40" customHeight="1">
      <c r="A68" s="91" t="inlineStr">
        <is>
          <t>IT-2965751</t>
        </is>
      </c>
      <c r="B68" s="92" t="inlineStr">
        <is>
          <t>Copy files From Nile QC Raw path to Nile Dev Raw path - UHC CSP</t>
        </is>
      </c>
      <c r="C68" s="92"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D68" s="92"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E68" s="92" t="inlineStr">
        <is>
          <t>Files Copied</t>
        </is>
      </c>
      <c r="F68" s="91" t="inlineStr">
        <is>
          <t>Closed</t>
        </is>
      </c>
      <c r="G68" s="91" t="inlineStr">
        <is>
          <t>2026-04-01</t>
        </is>
      </c>
    </row>
    <row r="69" ht="40" customHeight="1">
      <c r="A69" s="93" t="inlineStr">
        <is>
          <t>IT-2965581</t>
        </is>
      </c>
      <c r="B69" s="94" t="inlineStr">
        <is>
          <t>UHC-CIRRUS | Dummy ticket | Testing</t>
        </is>
      </c>
      <c r="C69" s="94" t="inlineStr">
        <is>
          <t>testing 1, 2, 3........</t>
        </is>
      </c>
      <c r="D69" s="94" t="inlineStr">
        <is>
          <t>ticket not needed. testing ticket.</t>
        </is>
      </c>
      <c r="E69" s="94" t="inlineStr"/>
      <c r="F69" s="93" t="inlineStr">
        <is>
          <t>Cancelled</t>
        </is>
      </c>
      <c r="G69" s="93" t="inlineStr">
        <is>
          <t>2026-04-01</t>
        </is>
      </c>
    </row>
    <row r="70" ht="40" customHeight="1">
      <c r="A70" s="91" t="inlineStr">
        <is>
          <t>IT-2964244</t>
        </is>
      </c>
      <c r="B70" s="92" t="inlineStr">
        <is>
          <t>copy latest set of files from Prod</t>
        </is>
      </c>
      <c r="C70" s="92" t="inlineStr">
        <is>
          <t>Hi , Could you please help copy latest set of files (20260330) from PROD to DEV. Client feed- 304-aetna-trad_scm</t>
        </is>
      </c>
      <c r="D70" s="92" t="inlineStr">
        <is>
          <t>Hi Malireddy, Krishna Files copied please verify Thanks</t>
        </is>
      </c>
      <c r="E70" s="92" t="inlineStr">
        <is>
          <t>Files copied</t>
        </is>
      </c>
      <c r="F70" s="91" t="inlineStr">
        <is>
          <t>Closed</t>
        </is>
      </c>
      <c r="G70" s="91" t="inlineStr">
        <is>
          <t>2026-04-01</t>
        </is>
      </c>
    </row>
    <row r="71" ht="40" customHeight="1">
      <c r="A71" s="93" t="inlineStr">
        <is>
          <t>IT-2963922</t>
        </is>
      </c>
      <c r="B71" s="94" t="inlineStr">
        <is>
          <t>Update "McdDmeCappedRentalCodes" and “DmeZipcodeClassification” Table in MCL</t>
        </is>
      </c>
      <c r="C71" s="94"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D71" s="94"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E71" s="94" t="inlineStr">
        <is>
          <t>Files loaded successfully and user confirmed to close the ticket.</t>
        </is>
      </c>
      <c r="F71" s="93" t="inlineStr">
        <is>
          <t>Closed</t>
        </is>
      </c>
      <c r="G71" s="93" t="inlineStr">
        <is>
          <t>2026-04-01</t>
        </is>
      </c>
    </row>
    <row r="73">
      <c r="A73" s="37" t="inlineStr">
        <is>
          <t>To recategorize: go to Raw Tickets → find ticket → use Category dropdown → re-run python run.py to refresh this list.</t>
        </is>
      </c>
    </row>
  </sheetData>
  <mergeCells count="3">
    <mergeCell ref="A73:G73"/>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2026-05-27T07:48:13Z</dcterms:created>
  <dcterms:modified xmlns:dcterms="http://purl.org/dc/terms/" xmlns:xsi="http://www.w3.org/2001/XMLSchema-instance" xsi:type="dcterms:W3CDTF">2026-05-27T07:48:14Z</dcterms:modified>
</cp:coreProperties>
</file>